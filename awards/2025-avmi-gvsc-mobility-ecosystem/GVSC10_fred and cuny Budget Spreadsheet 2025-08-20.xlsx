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orage\dept\Academic Affairs\Academic Departments\Research Administration\ResAdmin_Proposal_Files\Principal Investigators\Proposal Files\Vantsevich, Vladimir\2024\Vantsevich_Army GVSC_In 24714\2. individual budgets\"/>
    </mc:Choice>
  </mc:AlternateContent>
  <xr:revisionPtr revIDLastSave="0" documentId="8_{44D024B8-56F7-431F-BE3B-AB8362AA958B}" xr6:coauthVersionLast="47" xr6:coauthVersionMax="47" xr10:uidLastSave="{00000000-0000-0000-0000-000000000000}"/>
  <bookViews>
    <workbookView xWindow="28680" yWindow="1515" windowWidth="25440" windowHeight="15390" xr2:uid="{00000000-000D-0000-FFFF-FFFF00000000}"/>
  </bookViews>
  <sheets>
    <sheet name="Standard Budget Template" sheetId="1" r:id="rId1"/>
    <sheet name="Institutional Rate Information" sheetId="2" r:id="rId2"/>
  </sheet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27" i="1"/>
  <c r="E26" i="1"/>
  <c r="E19" i="1"/>
  <c r="E23" i="1"/>
  <c r="F23" i="1"/>
  <c r="G23" i="1"/>
  <c r="H23" i="1"/>
  <c r="I23" i="1"/>
  <c r="G22" i="1"/>
  <c r="H22" i="1"/>
  <c r="I22" i="1"/>
  <c r="F22" i="1"/>
  <c r="E22" i="1"/>
  <c r="J22" i="1"/>
  <c r="E18" i="1"/>
  <c r="H10" i="2"/>
  <c r="F8" i="2"/>
  <c r="E8" i="2"/>
  <c r="D8" i="2"/>
  <c r="C8" i="2"/>
  <c r="B8" i="2"/>
  <c r="F19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F7" i="2"/>
  <c r="E7" i="2"/>
  <c r="F6" i="2"/>
  <c r="E6" i="2"/>
  <c r="D7" i="2"/>
  <c r="C7" i="2"/>
  <c r="C6" i="2"/>
  <c r="D6" i="2"/>
  <c r="F5" i="2"/>
  <c r="E5" i="2"/>
  <c r="D5" i="2"/>
  <c r="C5" i="2"/>
  <c r="F108" i="1"/>
  <c r="G108" i="1"/>
  <c r="H108" i="1"/>
  <c r="I108" i="1"/>
  <c r="G9" i="1"/>
  <c r="H9" i="1"/>
  <c r="I9" i="1"/>
  <c r="I15" i="1"/>
  <c r="F26" i="1"/>
  <c r="G26" i="1"/>
  <c r="H26" i="1"/>
  <c r="I26" i="1"/>
  <c r="F27" i="1"/>
  <c r="G27" i="1"/>
  <c r="H27" i="1"/>
  <c r="I27" i="1"/>
  <c r="I29" i="1"/>
  <c r="H15" i="1"/>
  <c r="H29" i="1"/>
  <c r="G15" i="1"/>
  <c r="G29" i="1"/>
  <c r="F15" i="1"/>
  <c r="F29" i="1"/>
  <c r="E15" i="1"/>
  <c r="E29" i="1"/>
  <c r="F90" i="1"/>
  <c r="F92" i="1"/>
  <c r="F104" i="1"/>
  <c r="F96" i="1"/>
  <c r="F99" i="1"/>
  <c r="F97" i="1"/>
  <c r="F100" i="1"/>
  <c r="F106" i="1"/>
  <c r="G18" i="1"/>
  <c r="H18" i="1"/>
  <c r="I18" i="1"/>
  <c r="G19" i="1"/>
  <c r="H19" i="1"/>
  <c r="I19" i="1"/>
  <c r="I31" i="1"/>
  <c r="I96" i="1"/>
  <c r="I99" i="1"/>
  <c r="I67" i="1"/>
  <c r="I97" i="1"/>
  <c r="I100" i="1"/>
  <c r="I68" i="1"/>
  <c r="I90" i="1"/>
  <c r="I92" i="1"/>
  <c r="I104" i="1"/>
  <c r="I69" i="1"/>
  <c r="I66" i="1"/>
  <c r="I60" i="1"/>
  <c r="I73" i="1"/>
  <c r="I40" i="1"/>
  <c r="I46" i="1"/>
  <c r="I53" i="1"/>
  <c r="I75" i="1"/>
  <c r="G31" i="1"/>
  <c r="G96" i="1"/>
  <c r="G99" i="1"/>
  <c r="G67" i="1"/>
  <c r="G97" i="1"/>
  <c r="G100" i="1"/>
  <c r="G68" i="1"/>
  <c r="G90" i="1"/>
  <c r="G92" i="1"/>
  <c r="G104" i="1"/>
  <c r="G69" i="1"/>
  <c r="G66" i="1"/>
  <c r="G60" i="1"/>
  <c r="G73" i="1"/>
  <c r="G40" i="1"/>
  <c r="G46" i="1"/>
  <c r="G53" i="1"/>
  <c r="G75" i="1"/>
  <c r="F31" i="1"/>
  <c r="F67" i="1"/>
  <c r="F68" i="1"/>
  <c r="F69" i="1"/>
  <c r="F66" i="1"/>
  <c r="F60" i="1"/>
  <c r="F73" i="1"/>
  <c r="F40" i="1"/>
  <c r="F46" i="1"/>
  <c r="F53" i="1"/>
  <c r="F75" i="1"/>
  <c r="E31" i="1"/>
  <c r="E97" i="1"/>
  <c r="E100" i="1"/>
  <c r="E96" i="1"/>
  <c r="J70" i="1"/>
  <c r="J71" i="1"/>
  <c r="J26" i="1"/>
  <c r="E60" i="1"/>
  <c r="J20" i="1"/>
  <c r="E53" i="1"/>
  <c r="H92" i="1"/>
  <c r="E92" i="1"/>
  <c r="H90" i="1"/>
  <c r="H104" i="1"/>
  <c r="H69" i="1"/>
  <c r="H60" i="1"/>
  <c r="H40" i="1"/>
  <c r="H46" i="1"/>
  <c r="H53" i="1"/>
  <c r="E90" i="1"/>
  <c r="E104" i="1"/>
  <c r="E69" i="1"/>
  <c r="E111" i="1"/>
  <c r="E112" i="1"/>
  <c r="F111" i="1"/>
  <c r="F112" i="1"/>
  <c r="G111" i="1"/>
  <c r="G112" i="1"/>
  <c r="H111" i="1"/>
  <c r="H112" i="1"/>
  <c r="I111" i="1"/>
  <c r="I112" i="1"/>
  <c r="H113" i="1"/>
  <c r="H114" i="1"/>
  <c r="I113" i="1"/>
  <c r="I114" i="1"/>
  <c r="G113" i="1"/>
  <c r="G114" i="1"/>
  <c r="F113" i="1"/>
  <c r="F114" i="1"/>
  <c r="E113" i="1"/>
  <c r="E114" i="1"/>
  <c r="J50" i="1"/>
  <c r="J51" i="1"/>
  <c r="J52" i="1"/>
  <c r="J49" i="1"/>
  <c r="J63" i="1"/>
  <c r="J62" i="1"/>
  <c r="E40" i="1"/>
  <c r="J57" i="1"/>
  <c r="J58" i="1"/>
  <c r="J59" i="1"/>
  <c r="E46" i="1"/>
  <c r="J34" i="1"/>
  <c r="J35" i="1"/>
  <c r="J36" i="1"/>
  <c r="J37" i="1"/>
  <c r="J38" i="1"/>
  <c r="J39" i="1"/>
  <c r="J43" i="1"/>
  <c r="J44" i="1"/>
  <c r="J56" i="1"/>
  <c r="I115" i="1"/>
  <c r="I116" i="1"/>
  <c r="G115" i="1"/>
  <c r="G116" i="1"/>
  <c r="E115" i="1"/>
  <c r="E116" i="1"/>
  <c r="J64" i="1"/>
  <c r="H115" i="1"/>
  <c r="H116" i="1"/>
  <c r="F115" i="1"/>
  <c r="F116" i="1"/>
  <c r="I117" i="1"/>
  <c r="I118" i="1"/>
  <c r="E117" i="1"/>
  <c r="E118" i="1"/>
  <c r="H117" i="1"/>
  <c r="H118" i="1"/>
  <c r="G117" i="1"/>
  <c r="G118" i="1"/>
  <c r="J65" i="1"/>
  <c r="F117" i="1"/>
  <c r="F118" i="1"/>
  <c r="J40" i="1"/>
  <c r="J46" i="1"/>
  <c r="J60" i="1"/>
  <c r="J53" i="1"/>
  <c r="J11" i="1"/>
  <c r="J12" i="1"/>
  <c r="J23" i="1"/>
  <c r="J13" i="1"/>
  <c r="J10" i="1"/>
  <c r="J27" i="1"/>
  <c r="J9" i="1"/>
  <c r="J15" i="1"/>
  <c r="J69" i="1"/>
  <c r="J104" i="1"/>
  <c r="E68" i="1"/>
  <c r="E99" i="1"/>
  <c r="H97" i="1"/>
  <c r="H96" i="1"/>
  <c r="E106" i="1"/>
  <c r="E67" i="1"/>
  <c r="H99" i="1"/>
  <c r="E66" i="1"/>
  <c r="H100" i="1"/>
  <c r="H68" i="1"/>
  <c r="G106" i="1"/>
  <c r="J68" i="1"/>
  <c r="E73" i="1"/>
  <c r="J100" i="1"/>
  <c r="H67" i="1"/>
  <c r="H66" i="1"/>
  <c r="H73" i="1"/>
  <c r="H106" i="1"/>
  <c r="I106" i="1"/>
  <c r="J106" i="1"/>
  <c r="J99" i="1"/>
  <c r="J67" i="1"/>
  <c r="J66" i="1"/>
  <c r="J73" i="1"/>
  <c r="J19" i="1"/>
  <c r="H31" i="1"/>
  <c r="H75" i="1"/>
  <c r="H77" i="1"/>
  <c r="H79" i="1"/>
  <c r="J18" i="1"/>
  <c r="I77" i="1"/>
  <c r="I79" i="1"/>
  <c r="I82" i="1"/>
  <c r="H82" i="1"/>
  <c r="G77" i="1"/>
  <c r="G79" i="1"/>
  <c r="G82" i="1"/>
  <c r="F77" i="1"/>
  <c r="F79" i="1"/>
  <c r="F82" i="1"/>
  <c r="E75" i="1"/>
  <c r="J31" i="1"/>
  <c r="J29" i="1"/>
  <c r="J75" i="1"/>
  <c r="E77" i="1"/>
  <c r="J77" i="1"/>
  <c r="E79" i="1"/>
  <c r="J79" i="1"/>
  <c r="E82" i="1"/>
  <c r="J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Baxter, Orla</author>
  </authors>
  <commentList>
    <comment ref="A3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Baxter, Orla: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3% yearly inflator is built-in for all salaries/stipends</t>
        </r>
      </text>
    </comment>
    <comment ref="A33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Baxter, Orla: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Overhead not charged on single-item equipment &gt;$5000</t>
        </r>
      </text>
    </comment>
    <comment ref="A4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Baxter, Orla:</t>
        </r>
        <r>
          <rPr>
            <sz val="9"/>
            <color indexed="81"/>
            <rFont val="Tahoma"/>
            <family val="2"/>
          </rPr>
          <t xml:space="preserve">
PSCs are only for non-employee participants in connection with meetings, conference, symposia or training projects. 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for employees, interns, advisory groups, or human subjects</t>
        </r>
      </text>
    </comment>
  </commentList>
</comments>
</file>

<file path=xl/sharedStrings.xml><?xml version="1.0" encoding="utf-8"?>
<sst xmlns="http://schemas.openxmlformats.org/spreadsheetml/2006/main" count="187" uniqueCount="150">
  <si>
    <t>PhD</t>
  </si>
  <si>
    <t>Total Equipment</t>
  </si>
  <si>
    <t>E. Travel</t>
  </si>
  <si>
    <t>Total Travel</t>
  </si>
  <si>
    <t>G. Other Direct Costs</t>
  </si>
  <si>
    <t>Total Other Direct Costs</t>
  </si>
  <si>
    <t>1.) Materials and Supplies</t>
  </si>
  <si>
    <t>2.) Publication Costs</t>
  </si>
  <si>
    <t>Year 1</t>
  </si>
  <si>
    <t>Year 2</t>
  </si>
  <si>
    <t>Year 3</t>
  </si>
  <si>
    <t>Year 4</t>
  </si>
  <si>
    <t>Year 5</t>
  </si>
  <si>
    <t>Domestic</t>
  </si>
  <si>
    <t>Foreign</t>
  </si>
  <si>
    <t>MTDC Base</t>
  </si>
  <si>
    <t>Total Budget</t>
  </si>
  <si>
    <t>Cumulative</t>
  </si>
  <si>
    <t>Total Participant Support Costs</t>
  </si>
  <si>
    <t>Item D.</t>
  </si>
  <si>
    <t>Name of PI:</t>
  </si>
  <si>
    <t>Total Senior/Key Personnel</t>
  </si>
  <si>
    <t>B. Other Personnel</t>
  </si>
  <si>
    <t>Total Direct Costs</t>
  </si>
  <si>
    <t>Item E.</t>
  </si>
  <si>
    <t>Total</t>
  </si>
  <si>
    <r>
      <rPr>
        <b/>
        <sz val="10"/>
        <rFont val="Arial"/>
        <family val="2"/>
      </rPr>
      <t>(C.)</t>
    </r>
    <r>
      <rPr>
        <sz val="10"/>
        <rFont val="Arial"/>
        <family val="2"/>
      </rPr>
      <t xml:space="preserve"> Tuition Rates/Cr</t>
    </r>
  </si>
  <si>
    <t>4.) Computer Services</t>
  </si>
  <si>
    <t>Subaward B</t>
  </si>
  <si>
    <t>Subaward C</t>
  </si>
  <si>
    <t>6. Other (Total)</t>
  </si>
  <si>
    <t>Item F.</t>
  </si>
  <si>
    <t>Actual Per Credit</t>
  </si>
  <si>
    <t xml:space="preserve"> </t>
  </si>
  <si>
    <t>Subaward A</t>
  </si>
  <si>
    <r>
      <t>WPI Vol Uncom</t>
    </r>
    <r>
      <rPr>
        <b/>
        <i/>
        <sz val="10"/>
        <rFont val="Arial"/>
        <family val="2"/>
      </rPr>
      <t xml:space="preserve"> (OSP USE ONLY)</t>
    </r>
  </si>
  <si>
    <t>Proposal Title:</t>
  </si>
  <si>
    <t>SUBAWARDS  FOR MTDC</t>
  </si>
  <si>
    <t>DO NOT EDIT - FOR OSP USE ONLY</t>
  </si>
  <si>
    <t>Subaward D</t>
  </si>
  <si>
    <t>Health Fee</t>
  </si>
  <si>
    <t>D. Equipment &gt;$5000 per unit</t>
  </si>
  <si>
    <t>Masters</t>
  </si>
  <si>
    <t>Cost = A x B x C (Masters)</t>
  </si>
  <si>
    <t>Cost = A x B x C (PhD)</t>
  </si>
  <si>
    <r>
      <rPr>
        <b/>
        <sz val="10"/>
        <rFont val="Arial"/>
        <family val="2"/>
      </rPr>
      <t xml:space="preserve">(A.) </t>
    </r>
    <r>
      <rPr>
        <sz val="10"/>
        <rFont val="Arial"/>
        <family val="2"/>
      </rPr>
      <t>Enter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Number of RA's/yr (PhD)</t>
    </r>
  </si>
  <si>
    <r>
      <rPr>
        <b/>
        <sz val="10"/>
        <rFont val="Arial"/>
        <family val="2"/>
      </rPr>
      <t xml:space="preserve">(A.) </t>
    </r>
    <r>
      <rPr>
        <sz val="10"/>
        <rFont val="Arial"/>
        <family val="2"/>
      </rPr>
      <t>Enter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Number of RA's/yr (Masters)</t>
    </r>
  </si>
  <si>
    <r>
      <rPr>
        <b/>
        <sz val="10"/>
        <rFont val="Arial"/>
        <family val="2"/>
      </rPr>
      <t>(B.)</t>
    </r>
    <r>
      <rPr>
        <sz val="10"/>
        <rFont val="Arial"/>
        <family val="2"/>
      </rPr>
      <t xml:space="preserve"> Enter Number of Credits/each RA (Masters)</t>
    </r>
  </si>
  <si>
    <r>
      <rPr>
        <b/>
        <sz val="10"/>
        <rFont val="Arial"/>
        <family val="2"/>
      </rPr>
      <t>(B.)</t>
    </r>
    <r>
      <rPr>
        <sz val="10"/>
        <rFont val="Arial"/>
        <family val="2"/>
      </rPr>
      <t xml:space="preserve"> Enter Number of Credits/each RA (PhD)</t>
    </r>
  </si>
  <si>
    <t>Effort in months</t>
  </si>
  <si>
    <t xml:space="preserve"> MTDC @</t>
  </si>
  <si>
    <t>7.) Subawards (Total)</t>
  </si>
  <si>
    <t>AY 23/24</t>
  </si>
  <si>
    <t>InfoEd #</t>
  </si>
  <si>
    <t>AY 24/25</t>
  </si>
  <si>
    <t>AY 25/26</t>
  </si>
  <si>
    <t>Primary Sponsor, if subaward</t>
  </si>
  <si>
    <t>Subaward B PI</t>
  </si>
  <si>
    <t>Subaward C PI</t>
  </si>
  <si>
    <t>Subaward D PI</t>
  </si>
  <si>
    <t>Deadline Date</t>
  </si>
  <si>
    <t>Date Submitted</t>
  </si>
  <si>
    <t>Subaward B Institution</t>
  </si>
  <si>
    <t>Subaward C Institution</t>
  </si>
  <si>
    <t>Subaward D Institution</t>
  </si>
  <si>
    <r>
      <t>C. Fringe Benefits</t>
    </r>
    <r>
      <rPr>
        <sz val="10"/>
        <rFont val="Arial"/>
        <family val="2"/>
      </rPr>
      <t xml:space="preserve"> (@% of faculty/staff salaries)</t>
    </r>
  </si>
  <si>
    <t>Participant Support Stipends*</t>
  </si>
  <si>
    <t>Participant Support Travel*</t>
  </si>
  <si>
    <t>Participant Support Subistence*</t>
  </si>
  <si>
    <t>Participant Support Other*</t>
  </si>
  <si>
    <t>Pre-Award Contact</t>
  </si>
  <si>
    <t xml:space="preserve">Human subjects </t>
  </si>
  <si>
    <t xml:space="preserve">Total Personnel </t>
  </si>
  <si>
    <t>Negotiated Rate Table</t>
  </si>
  <si>
    <t>Negotiated Rate</t>
  </si>
  <si>
    <t>Sponsor Max</t>
  </si>
  <si>
    <t>Waiver</t>
  </si>
  <si>
    <t>Reduced</t>
  </si>
  <si>
    <t>Sponsor &amp; Opportunity Number</t>
  </si>
  <si>
    <t>Principal Investigator</t>
  </si>
  <si>
    <t>Senior Personnel</t>
  </si>
  <si>
    <t>AY 26/27</t>
  </si>
  <si>
    <t># of Pay Cycles</t>
  </si>
  <si>
    <t>Academic Year</t>
  </si>
  <si>
    <t>Full Year</t>
  </si>
  <si>
    <t>Semester</t>
  </si>
  <si>
    <t>Summer</t>
  </si>
  <si>
    <t>Pay Cycles</t>
  </si>
  <si>
    <t>AY 27/28</t>
  </si>
  <si>
    <t>Appointment Type</t>
  </si>
  <si>
    <t>Appt Type</t>
  </si>
  <si>
    <t>Role</t>
  </si>
  <si>
    <t>% Credit</t>
  </si>
  <si>
    <t>Co-PI</t>
  </si>
  <si>
    <t>Co-Investigator</t>
  </si>
  <si>
    <t>Faculty Mentor</t>
  </si>
  <si>
    <t>Project Period Dates: Start</t>
  </si>
  <si>
    <r>
      <t xml:space="preserve">F. Participant Support Costs </t>
    </r>
    <r>
      <rPr>
        <b/>
        <sz val="10"/>
        <color indexed="10"/>
        <rFont val="Arial"/>
        <family val="2"/>
      </rPr>
      <t>(ONLY FOR PARTICIPANT SUPPORT COSTS - NOT WPI-EMPLOYEE COSTS)</t>
    </r>
  </si>
  <si>
    <r>
      <t>Tuition Fee for MS</t>
    </r>
    <r>
      <rPr>
        <b/>
        <sz val="10"/>
        <rFont val="Arial"/>
        <family val="2"/>
      </rPr>
      <t>(*Use Worksheet Below)</t>
    </r>
  </si>
  <si>
    <r>
      <t>Tuition Fee for PhD</t>
    </r>
    <r>
      <rPr>
        <b/>
        <sz val="10"/>
        <rFont val="Arial"/>
        <family val="2"/>
      </rPr>
      <t>(*Use Worksheet Below)</t>
    </r>
  </si>
  <si>
    <r>
      <t xml:space="preserve"> Health Fee </t>
    </r>
    <r>
      <rPr>
        <b/>
        <sz val="10"/>
        <rFont val="Arial"/>
        <family val="2"/>
      </rPr>
      <t>(*Use Worksheet Below)</t>
    </r>
  </si>
  <si>
    <t>RA Tuition Worksheet                           (Tuition Calculation=A X B X C)</t>
  </si>
  <si>
    <t>Graduate Student Information</t>
  </si>
  <si>
    <t>Monthly Effort Equiv.</t>
  </si>
  <si>
    <t>WPI Negotiated Rate Information</t>
  </si>
  <si>
    <t>Union Stipend Rate Effective Date</t>
  </si>
  <si>
    <t>Biweekly Amount</t>
  </si>
  <si>
    <t>*escalated by 3% in each following year for projection purposes</t>
  </si>
  <si>
    <t>Overhead Cost Rate</t>
  </si>
  <si>
    <t>Period</t>
  </si>
  <si>
    <t>Rate</t>
  </si>
  <si>
    <t>On Campus: Organized Research</t>
  </si>
  <si>
    <t>On Campus: Instruction</t>
  </si>
  <si>
    <t>On Campus: Other Sponsored Activities</t>
  </si>
  <si>
    <t>Off Campus: All Activities</t>
  </si>
  <si>
    <t>Fringe Benefits (Faculty and Staff)</t>
  </si>
  <si>
    <t>07/01/24 - 6/30/2027</t>
  </si>
  <si>
    <t>7/1/24 - 6/30/25</t>
  </si>
  <si>
    <t>Addt Personnel First and Last</t>
  </si>
  <si>
    <t>Notes:</t>
  </si>
  <si>
    <t>Post-Submission Reference #</t>
  </si>
  <si>
    <t xml:space="preserve">You can find more information on our institutional rates here: </t>
  </si>
  <si>
    <t>Biweekly Rate</t>
  </si>
  <si>
    <t>Hourly Student (Undergraduate)</t>
  </si>
  <si>
    <t>Hourly Rate</t>
  </si>
  <si>
    <t>Total Hours</t>
  </si>
  <si>
    <t>COI Completed?</t>
  </si>
  <si>
    <t>End Date:</t>
  </si>
  <si>
    <t>Annual Salary</t>
  </si>
  <si>
    <t>Post-Doctoral Fellow</t>
  </si>
  <si>
    <t>Other Professional (Eg; Technician)</t>
  </si>
  <si>
    <t>Hourly Student (Graduate)</t>
  </si>
  <si>
    <t>Graduate Research Assistant</t>
  </si>
  <si>
    <t>Institutional Base Salary</t>
  </si>
  <si>
    <t>Other Direct Costs: eg, facilities usage</t>
  </si>
  <si>
    <t>*Add corresponding tuition in table below</t>
  </si>
  <si>
    <t>*Must have quote for equipment</t>
  </si>
  <si>
    <t>*NOT Human Subjects Cost, Use Other Direct Cost Table Below</t>
  </si>
  <si>
    <t>A. WPI Senior/Key Personnel</t>
  </si>
  <si>
    <t>3.) External Consultant Services</t>
  </si>
  <si>
    <t>Frederick Bianchi</t>
  </si>
  <si>
    <t>Sound System Modeling, Simulation and Integration in the ASL DE Ecosystem Simulator</t>
  </si>
  <si>
    <t>Department of Defence</t>
  </si>
  <si>
    <t>Graduate Research Assistant #1</t>
  </si>
  <si>
    <t>Item A.  Dolby Atmos 7.1 Sound System and Installation</t>
  </si>
  <si>
    <t>Item B. Sound Sample Libraries</t>
  </si>
  <si>
    <t>Item C. 2 PCs</t>
  </si>
  <si>
    <t>CUNY</t>
  </si>
  <si>
    <t>David Smith</t>
  </si>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</sst>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mm/dd/yy;@"/>
  </numFmts>
  <fonts count="2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u val="doubleAccounting"/>
      <sz val="1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u val="doubleAccounting"/>
      <sz val="10"/>
      <name val="Arial"/>
      <family val="2"/>
    </font>
    <font>
      <i/>
      <sz val="8"/>
      <name val="Arial"/>
      <family val="2"/>
    </font>
    <font>
      <b/>
      <i/>
      <u val="doubleAccounting"/>
      <sz val="12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0"/>
      <color indexed="10"/>
      <name val="Arial"/>
      <family val="2"/>
    </font>
    <font>
      <b/>
      <i/>
      <u val="doubleAccounting"/>
      <sz val="10"/>
      <name val="Arial"/>
      <family val="2"/>
    </font>
    <font>
      <u/>
      <sz val="10"/>
      <color theme="10"/>
      <name val="Arial"/>
      <family val="2"/>
    </font>
    <font>
      <sz val="12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FFD7A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19">
    <xf numFmtId="0" fontId="0" fillId="0" borderId="0" xfId="0"/>
    <xf numFmtId="0" fontId="3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2" fillId="0" borderId="0" xfId="0" applyFont="1" applyAlignment="1" applyProtection="1">
      <alignment vertical="top" wrapText="1" shrinkToFit="1"/>
      <protection locked="0"/>
    </xf>
    <xf numFmtId="0" fontId="2" fillId="0" borderId="0" xfId="0" applyFont="1" applyAlignment="1" applyProtection="1">
      <alignment horizontal="left"/>
      <protection locked="0"/>
    </xf>
    <xf numFmtId="3" fontId="3" fillId="0" borderId="0" xfId="0" applyNumberFormat="1" applyFont="1" applyAlignment="1" applyProtection="1">
      <alignment horizontal="center"/>
      <protection locked="0"/>
    </xf>
    <xf numFmtId="14" fontId="3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10" fillId="0" borderId="0" xfId="0" applyFont="1" applyProtection="1">
      <protection locked="0"/>
    </xf>
    <xf numFmtId="4" fontId="3" fillId="0" borderId="0" xfId="0" applyNumberFormat="1" applyFont="1" applyProtection="1">
      <protection locked="0"/>
    </xf>
    <xf numFmtId="3" fontId="0" fillId="0" borderId="0" xfId="0" applyNumberFormat="1"/>
    <xf numFmtId="0" fontId="3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4" fontId="5" fillId="3" borderId="1" xfId="0" applyNumberFormat="1" applyFont="1" applyFill="1" applyBorder="1" applyProtection="1">
      <protection locked="0"/>
    </xf>
    <xf numFmtId="4" fontId="2" fillId="3" borderId="1" xfId="0" applyNumberFormat="1" applyFont="1" applyFill="1" applyBorder="1" applyProtection="1">
      <protection locked="0"/>
    </xf>
    <xf numFmtId="4" fontId="3" fillId="3" borderId="2" xfId="0" applyNumberFormat="1" applyFont="1" applyFill="1" applyBorder="1" applyProtection="1">
      <protection locked="0"/>
    </xf>
    <xf numFmtId="4" fontId="2" fillId="4" borderId="1" xfId="0" applyNumberFormat="1" applyFont="1" applyFill="1" applyBorder="1" applyProtection="1">
      <protection locked="0"/>
    </xf>
    <xf numFmtId="4" fontId="3" fillId="4" borderId="2" xfId="0" applyNumberFormat="1" applyFont="1" applyFill="1" applyBorder="1" applyProtection="1">
      <protection locked="0"/>
    </xf>
    <xf numFmtId="4" fontId="2" fillId="5" borderId="1" xfId="0" applyNumberFormat="1" applyFont="1" applyFill="1" applyBorder="1" applyProtection="1">
      <protection locked="0"/>
    </xf>
    <xf numFmtId="4" fontId="3" fillId="5" borderId="2" xfId="0" applyNumberFormat="1" applyFont="1" applyFill="1" applyBorder="1" applyProtection="1">
      <protection locked="0"/>
    </xf>
    <xf numFmtId="4" fontId="2" fillId="6" borderId="1" xfId="0" applyNumberFormat="1" applyFont="1" applyFill="1" applyBorder="1" applyProtection="1">
      <protection locked="0"/>
    </xf>
    <xf numFmtId="4" fontId="2" fillId="6" borderId="0" xfId="0" applyNumberFormat="1" applyFont="1" applyFill="1" applyProtection="1">
      <protection locked="0"/>
    </xf>
    <xf numFmtId="4" fontId="3" fillId="6" borderId="2" xfId="0" applyNumberFormat="1" applyFont="1" applyFill="1" applyBorder="1" applyProtection="1">
      <protection locked="0"/>
    </xf>
    <xf numFmtId="4" fontId="2" fillId="7" borderId="1" xfId="0" applyNumberFormat="1" applyFont="1" applyFill="1" applyBorder="1" applyProtection="1">
      <protection locked="0"/>
    </xf>
    <xf numFmtId="4" fontId="2" fillId="7" borderId="0" xfId="0" applyNumberFormat="1" applyFont="1" applyFill="1" applyProtection="1">
      <protection locked="0"/>
    </xf>
    <xf numFmtId="4" fontId="7" fillId="7" borderId="1" xfId="0" applyNumberFormat="1" applyFont="1" applyFill="1" applyBorder="1" applyProtection="1">
      <protection locked="0"/>
    </xf>
    <xf numFmtId="4" fontId="3" fillId="7" borderId="2" xfId="0" applyNumberFormat="1" applyFont="1" applyFill="1" applyBorder="1" applyProtection="1">
      <protection locked="0"/>
    </xf>
    <xf numFmtId="4" fontId="2" fillId="0" borderId="3" xfId="0" applyNumberFormat="1" applyFont="1" applyBorder="1" applyProtection="1">
      <protection locked="0"/>
    </xf>
    <xf numFmtId="4" fontId="2" fillId="0" borderId="4" xfId="0" applyNumberFormat="1" applyFont="1" applyBorder="1" applyProtection="1">
      <protection locked="0"/>
    </xf>
    <xf numFmtId="4" fontId="2" fillId="0" borderId="1" xfId="0" applyNumberFormat="1" applyFont="1" applyBorder="1" applyProtection="1">
      <protection locked="0"/>
    </xf>
    <xf numFmtId="4" fontId="2" fillId="0" borderId="7" xfId="0" applyNumberFormat="1" applyFont="1" applyBorder="1" applyProtection="1">
      <protection locked="0"/>
    </xf>
    <xf numFmtId="4" fontId="2" fillId="0" borderId="8" xfId="0" applyNumberFormat="1" applyFont="1" applyBorder="1" applyProtection="1">
      <protection locked="0"/>
    </xf>
    <xf numFmtId="4" fontId="2" fillId="3" borderId="5" xfId="0" applyNumberFormat="1" applyFont="1" applyFill="1" applyBorder="1" applyAlignment="1" applyProtection="1">
      <alignment horizontal="left"/>
      <protection locked="0"/>
    </xf>
    <xf numFmtId="4" fontId="2" fillId="0" borderId="5" xfId="0" applyNumberFormat="1" applyFont="1" applyBorder="1" applyAlignment="1" applyProtection="1">
      <alignment horizontal="left"/>
      <protection locked="0"/>
    </xf>
    <xf numFmtId="4" fontId="3" fillId="3" borderId="9" xfId="0" applyNumberFormat="1" applyFont="1" applyFill="1" applyBorder="1" applyProtection="1">
      <protection locked="0"/>
    </xf>
    <xf numFmtId="4" fontId="3" fillId="4" borderId="9" xfId="0" applyNumberFormat="1" applyFont="1" applyFill="1" applyBorder="1" applyProtection="1">
      <protection locked="0"/>
    </xf>
    <xf numFmtId="4" fontId="3" fillId="5" borderId="9" xfId="0" applyNumberFormat="1" applyFont="1" applyFill="1" applyBorder="1" applyProtection="1">
      <protection locked="0"/>
    </xf>
    <xf numFmtId="4" fontId="3" fillId="6" borderId="9" xfId="0" applyNumberFormat="1" applyFont="1" applyFill="1" applyBorder="1" applyProtection="1">
      <protection locked="0"/>
    </xf>
    <xf numFmtId="4" fontId="3" fillId="7" borderId="9" xfId="0" applyNumberFormat="1" applyFont="1" applyFill="1" applyBorder="1" applyProtection="1">
      <protection locked="0"/>
    </xf>
    <xf numFmtId="165" fontId="0" fillId="0" borderId="0" xfId="0" applyNumberFormat="1" applyProtection="1">
      <protection locked="0"/>
    </xf>
    <xf numFmtId="0" fontId="3" fillId="8" borderId="11" xfId="0" applyFont="1" applyFill="1" applyBorder="1" applyAlignment="1" applyProtection="1">
      <alignment horizontal="right"/>
      <protection locked="0"/>
    </xf>
    <xf numFmtId="0" fontId="3" fillId="8" borderId="13" xfId="0" applyFont="1" applyFill="1" applyBorder="1" applyProtection="1">
      <protection locked="0"/>
    </xf>
    <xf numFmtId="0" fontId="7" fillId="8" borderId="12" xfId="0" applyFont="1" applyFill="1" applyBorder="1" applyProtection="1">
      <protection locked="0"/>
    </xf>
    <xf numFmtId="3" fontId="3" fillId="8" borderId="13" xfId="0" applyNumberFormat="1" applyFont="1" applyFill="1" applyBorder="1" applyProtection="1">
      <protection locked="0"/>
    </xf>
    <xf numFmtId="0" fontId="3" fillId="8" borderId="12" xfId="0" applyFont="1" applyFill="1" applyBorder="1" applyProtection="1">
      <protection locked="0"/>
    </xf>
    <xf numFmtId="0" fontId="7" fillId="8" borderId="14" xfId="0" applyFont="1" applyFill="1" applyBorder="1" applyProtection="1">
      <protection locked="0"/>
    </xf>
    <xf numFmtId="0" fontId="2" fillId="8" borderId="15" xfId="0" applyFont="1" applyFill="1" applyBorder="1" applyAlignment="1" applyProtection="1">
      <alignment wrapText="1" shrinkToFit="1"/>
      <protection locked="0"/>
    </xf>
    <xf numFmtId="3" fontId="3" fillId="8" borderId="13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Alignment="1" applyProtection="1">
      <alignment horizontal="right"/>
      <protection locked="0"/>
    </xf>
    <xf numFmtId="3" fontId="3" fillId="0" borderId="17" xfId="0" applyNumberFormat="1" applyFont="1" applyBorder="1"/>
    <xf numFmtId="3" fontId="5" fillId="3" borderId="4" xfId="0" applyNumberFormat="1" applyFont="1" applyFill="1" applyBorder="1"/>
    <xf numFmtId="3" fontId="7" fillId="3" borderId="0" xfId="0" applyNumberFormat="1" applyFont="1" applyFill="1"/>
    <xf numFmtId="3" fontId="7" fillId="3" borderId="18" xfId="0" applyNumberFormat="1" applyFont="1" applyFill="1" applyBorder="1"/>
    <xf numFmtId="3" fontId="7" fillId="3" borderId="0" xfId="0" applyNumberFormat="1" applyFont="1" applyFill="1" applyAlignment="1">
      <alignment vertical="top" wrapText="1" shrinkToFit="1"/>
    </xf>
    <xf numFmtId="3" fontId="3" fillId="3" borderId="9" xfId="0" applyNumberFormat="1" applyFont="1" applyFill="1" applyBorder="1"/>
    <xf numFmtId="3" fontId="3" fillId="3" borderId="19" xfId="0" applyNumberFormat="1" applyFont="1" applyFill="1" applyBorder="1"/>
    <xf numFmtId="3" fontId="3" fillId="0" borderId="20" xfId="0" applyNumberFormat="1" applyFont="1" applyBorder="1"/>
    <xf numFmtId="3" fontId="0" fillId="0" borderId="0" xfId="0" applyNumberFormat="1" applyProtection="1">
      <protection locked="0"/>
    </xf>
    <xf numFmtId="3" fontId="3" fillId="4" borderId="9" xfId="0" applyNumberFormat="1" applyFont="1" applyFill="1" applyBorder="1"/>
    <xf numFmtId="3" fontId="3" fillId="0" borderId="4" xfId="0" applyNumberFormat="1" applyFont="1" applyBorder="1"/>
    <xf numFmtId="3" fontId="2" fillId="5" borderId="0" xfId="0" applyNumberFormat="1" applyFont="1" applyFill="1" applyAlignment="1" applyProtection="1">
      <alignment horizontal="center"/>
      <protection locked="0"/>
    </xf>
    <xf numFmtId="3" fontId="3" fillId="5" borderId="9" xfId="0" applyNumberFormat="1" applyFont="1" applyFill="1" applyBorder="1"/>
    <xf numFmtId="3" fontId="2" fillId="0" borderId="0" xfId="0" applyNumberFormat="1" applyFont="1" applyAlignment="1" applyProtection="1">
      <alignment horizontal="center"/>
      <protection locked="0"/>
    </xf>
    <xf numFmtId="3" fontId="2" fillId="6" borderId="0" xfId="0" applyNumberFormat="1" applyFont="1" applyFill="1" applyAlignment="1" applyProtection="1">
      <alignment horizontal="center"/>
      <protection locked="0"/>
    </xf>
    <xf numFmtId="3" fontId="3" fillId="0" borderId="5" xfId="0" applyNumberFormat="1" applyFont="1" applyBorder="1" applyAlignment="1" applyProtection="1">
      <alignment horizontal="center"/>
      <protection locked="0"/>
    </xf>
    <xf numFmtId="3" fontId="3" fillId="6" borderId="9" xfId="0" applyNumberFormat="1" applyFont="1" applyFill="1" applyBorder="1"/>
    <xf numFmtId="3" fontId="2" fillId="7" borderId="0" xfId="0" applyNumberFormat="1" applyFont="1" applyFill="1" applyAlignment="1" applyProtection="1">
      <alignment horizontal="center"/>
      <protection locked="0"/>
    </xf>
    <xf numFmtId="3" fontId="3" fillId="0" borderId="18" xfId="0" applyNumberFormat="1" applyFont="1" applyBorder="1" applyProtection="1">
      <protection locked="0"/>
    </xf>
    <xf numFmtId="3" fontId="3" fillId="7" borderId="9" xfId="0" applyNumberFormat="1" applyFont="1" applyFill="1" applyBorder="1"/>
    <xf numFmtId="3" fontId="2" fillId="0" borderId="9" xfId="0" applyNumberFormat="1" applyFont="1" applyBorder="1" applyAlignment="1" applyProtection="1">
      <alignment horizontal="center"/>
      <protection locked="0"/>
    </xf>
    <xf numFmtId="3" fontId="2" fillId="0" borderId="19" xfId="0" applyNumberFormat="1" applyFont="1" applyBorder="1" applyAlignment="1" applyProtection="1">
      <alignment horizontal="center"/>
      <protection locked="0"/>
    </xf>
    <xf numFmtId="3" fontId="2" fillId="0" borderId="4" xfId="0" applyNumberFormat="1" applyFont="1" applyBorder="1"/>
    <xf numFmtId="3" fontId="2" fillId="0" borderId="0" xfId="0" applyNumberFormat="1" applyFont="1" applyProtection="1">
      <protection locked="0"/>
    </xf>
    <xf numFmtId="3" fontId="8" fillId="0" borderId="0" xfId="0" applyNumberFormat="1" applyFont="1" applyProtection="1">
      <protection locked="0"/>
    </xf>
    <xf numFmtId="164" fontId="9" fillId="0" borderId="8" xfId="0" applyNumberFormat="1" applyFont="1" applyBorder="1"/>
    <xf numFmtId="4" fontId="2" fillId="4" borderId="5" xfId="0" applyNumberFormat="1" applyFont="1" applyFill="1" applyBorder="1" applyProtection="1">
      <protection locked="0"/>
    </xf>
    <xf numFmtId="3" fontId="2" fillId="4" borderId="5" xfId="0" applyNumberFormat="1" applyFont="1" applyFill="1" applyBorder="1" applyAlignment="1" applyProtection="1">
      <alignment horizontal="center"/>
      <protection locked="0"/>
    </xf>
    <xf numFmtId="0" fontId="0" fillId="9" borderId="0" xfId="0" applyFill="1" applyProtection="1">
      <protection locked="0"/>
    </xf>
    <xf numFmtId="0" fontId="12" fillId="9" borderId="3" xfId="0" applyFont="1" applyFill="1" applyBorder="1" applyProtection="1">
      <protection locked="0"/>
    </xf>
    <xf numFmtId="0" fontId="3" fillId="9" borderId="4" xfId="0" applyFont="1" applyFill="1" applyBorder="1" applyProtection="1">
      <protection locked="0"/>
    </xf>
    <xf numFmtId="0" fontId="0" fillId="9" borderId="4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8" xfId="0" applyBorder="1"/>
    <xf numFmtId="0" fontId="3" fillId="9" borderId="0" xfId="0" applyFont="1" applyFill="1"/>
    <xf numFmtId="0" fontId="0" fillId="9" borderId="5" xfId="0" applyFill="1" applyBorder="1" applyProtection="1">
      <protection locked="0"/>
    </xf>
    <xf numFmtId="0" fontId="3" fillId="9" borderId="5" xfId="0" applyFont="1" applyFill="1" applyBorder="1"/>
    <xf numFmtId="0" fontId="3" fillId="9" borderId="1" xfId="0" applyFont="1" applyFill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3" fillId="9" borderId="6" xfId="0" applyFont="1" applyFill="1" applyBorder="1" applyAlignment="1" applyProtection="1">
      <alignment horizontal="right"/>
      <protection locked="0"/>
    </xf>
    <xf numFmtId="4" fontId="2" fillId="3" borderId="5" xfId="0" applyNumberFormat="1" applyFont="1" applyFill="1" applyBorder="1" applyAlignment="1" applyProtection="1">
      <alignment horizontal="right"/>
      <protection locked="0"/>
    </xf>
    <xf numFmtId="3" fontId="3" fillId="8" borderId="25" xfId="0" applyNumberFormat="1" applyFont="1" applyFill="1" applyBorder="1" applyProtection="1">
      <protection locked="0"/>
    </xf>
    <xf numFmtId="0" fontId="3" fillId="8" borderId="26" xfId="0" applyFont="1" applyFill="1" applyBorder="1" applyProtection="1">
      <protection locked="0"/>
    </xf>
    <xf numFmtId="3" fontId="3" fillId="8" borderId="27" xfId="0" applyNumberFormat="1" applyFont="1" applyFill="1" applyBorder="1" applyAlignment="1" applyProtection="1">
      <alignment horizontal="right"/>
      <protection locked="0"/>
    </xf>
    <xf numFmtId="44" fontId="0" fillId="0" borderId="0" xfId="1" applyFont="1" applyProtection="1">
      <protection locked="0"/>
    </xf>
    <xf numFmtId="3" fontId="2" fillId="10" borderId="5" xfId="0" applyNumberFormat="1" applyFont="1" applyFill="1" applyBorder="1" applyAlignment="1" applyProtection="1">
      <alignment horizontal="right"/>
      <protection locked="0"/>
    </xf>
    <xf numFmtId="3" fontId="3" fillId="10" borderId="29" xfId="0" applyNumberFormat="1" applyFont="1" applyFill="1" applyBorder="1" applyAlignment="1" applyProtection="1">
      <alignment horizontal="right"/>
      <protection locked="0"/>
    </xf>
    <xf numFmtId="0" fontId="2" fillId="10" borderId="12" xfId="0" applyFont="1" applyFill="1" applyBorder="1" applyProtection="1">
      <protection locked="0"/>
    </xf>
    <xf numFmtId="3" fontId="3" fillId="10" borderId="13" xfId="0" applyNumberFormat="1" applyFont="1" applyFill="1" applyBorder="1" applyProtection="1">
      <protection locked="0"/>
    </xf>
    <xf numFmtId="0" fontId="7" fillId="10" borderId="24" xfId="0" applyFont="1" applyFill="1" applyBorder="1" applyProtection="1">
      <protection locked="0"/>
    </xf>
    <xf numFmtId="3" fontId="3" fillId="10" borderId="25" xfId="0" applyNumberFormat="1" applyFont="1" applyFill="1" applyBorder="1" applyProtection="1">
      <protection locked="0"/>
    </xf>
    <xf numFmtId="0" fontId="2" fillId="8" borderId="14" xfId="0" applyFont="1" applyFill="1" applyBorder="1" applyAlignment="1" applyProtection="1">
      <alignment horizontal="right"/>
      <protection locked="0"/>
    </xf>
    <xf numFmtId="164" fontId="7" fillId="8" borderId="10" xfId="0" applyNumberFormat="1" applyFont="1" applyFill="1" applyBorder="1" applyAlignment="1" applyProtection="1">
      <alignment horizontal="right" vertical="center"/>
      <protection locked="0"/>
    </xf>
    <xf numFmtId="3" fontId="5" fillId="0" borderId="17" xfId="0" applyNumberFormat="1" applyFont="1" applyBorder="1"/>
    <xf numFmtId="0" fontId="4" fillId="0" borderId="0" xfId="0" applyFont="1" applyProtection="1">
      <protection locked="0"/>
    </xf>
    <xf numFmtId="0" fontId="0" fillId="0" borderId="0" xfId="0" applyAlignment="1">
      <alignment wrapText="1"/>
    </xf>
    <xf numFmtId="0" fontId="3" fillId="0" borderId="0" xfId="0" applyFont="1" applyAlignment="1" applyProtection="1">
      <alignment horizontal="center" wrapText="1"/>
      <protection locked="0"/>
    </xf>
    <xf numFmtId="4" fontId="2" fillId="0" borderId="0" xfId="0" applyNumberFormat="1" applyFont="1" applyAlignment="1" applyProtection="1">
      <alignment horizontal="left"/>
      <protection locked="0"/>
    </xf>
    <xf numFmtId="3" fontId="3" fillId="0" borderId="0" xfId="0" applyNumberFormat="1" applyFont="1"/>
    <xf numFmtId="3" fontId="3" fillId="0" borderId="0" xfId="0" applyNumberFormat="1" applyFont="1" applyAlignment="1">
      <alignment vertical="top"/>
    </xf>
    <xf numFmtId="3" fontId="5" fillId="0" borderId="0" xfId="0" applyNumberFormat="1" applyFont="1"/>
    <xf numFmtId="164" fontId="11" fillId="2" borderId="0" xfId="0" applyNumberFormat="1" applyFont="1" applyFill="1"/>
    <xf numFmtId="0" fontId="3" fillId="8" borderId="0" xfId="0" applyFont="1" applyFill="1" applyAlignment="1" applyProtection="1">
      <alignment horizontal="right"/>
      <protection locked="0"/>
    </xf>
    <xf numFmtId="0" fontId="3" fillId="8" borderId="0" xfId="0" applyFont="1" applyFill="1" applyProtection="1">
      <protection locked="0"/>
    </xf>
    <xf numFmtId="0" fontId="8" fillId="8" borderId="0" xfId="0" applyFont="1" applyFill="1" applyProtection="1">
      <protection locked="0"/>
    </xf>
    <xf numFmtId="3" fontId="3" fillId="8" borderId="0" xfId="0" applyNumberFormat="1" applyFont="1" applyFill="1" applyAlignment="1" applyProtection="1">
      <alignment horizontal="right"/>
      <protection locked="0"/>
    </xf>
    <xf numFmtId="3" fontId="3" fillId="8" borderId="0" xfId="0" applyNumberFormat="1" applyFont="1" applyFill="1" applyProtection="1">
      <protection locked="0"/>
    </xf>
    <xf numFmtId="3" fontId="3" fillId="10" borderId="0" xfId="0" applyNumberFormat="1" applyFont="1" applyFill="1" applyAlignment="1" applyProtection="1">
      <alignment horizontal="right"/>
      <protection locked="0"/>
    </xf>
    <xf numFmtId="3" fontId="3" fillId="10" borderId="0" xfId="0" applyNumberFormat="1" applyFont="1" applyFill="1" applyProtection="1">
      <protection locked="0"/>
    </xf>
    <xf numFmtId="4" fontId="7" fillId="9" borderId="20" xfId="0" applyNumberFormat="1" applyFont="1" applyFill="1" applyBorder="1" applyProtection="1">
      <protection locked="0"/>
    </xf>
    <xf numFmtId="10" fontId="2" fillId="0" borderId="0" xfId="4" applyNumberFormat="1" applyFont="1" applyBorder="1" applyProtection="1">
      <protection locked="0"/>
    </xf>
    <xf numFmtId="10" fontId="2" fillId="3" borderId="0" xfId="4" applyNumberFormat="1" applyFont="1" applyFill="1" applyBorder="1" applyAlignment="1" applyProtection="1">
      <alignment vertical="top" wrapText="1" shrinkToFit="1"/>
      <protection locked="0"/>
    </xf>
    <xf numFmtId="0" fontId="15" fillId="0" borderId="0" xfId="0" applyFont="1" applyProtection="1">
      <protection locked="0"/>
    </xf>
    <xf numFmtId="0" fontId="0" fillId="12" borderId="20" xfId="0" applyFill="1" applyBorder="1" applyAlignment="1">
      <alignment wrapText="1"/>
    </xf>
    <xf numFmtId="4" fontId="2" fillId="7" borderId="3" xfId="0" applyNumberFormat="1" applyFont="1" applyFill="1" applyBorder="1" applyProtection="1">
      <protection locked="0"/>
    </xf>
    <xf numFmtId="164" fontId="3" fillId="0" borderId="0" xfId="0" applyNumberFormat="1" applyFont="1" applyProtection="1">
      <protection locked="0"/>
    </xf>
    <xf numFmtId="9" fontId="3" fillId="0" borderId="0" xfId="4" applyFont="1" applyFill="1" applyProtection="1">
      <protection locked="0"/>
    </xf>
    <xf numFmtId="44" fontId="3" fillId="0" borderId="0" xfId="1" applyFont="1" applyFill="1" applyProtection="1">
      <protection locked="0"/>
    </xf>
    <xf numFmtId="0" fontId="7" fillId="13" borderId="20" xfId="0" applyFont="1" applyFill="1" applyBorder="1" applyAlignment="1">
      <alignment horizontal="left" wrapText="1"/>
    </xf>
    <xf numFmtId="3" fontId="7" fillId="13" borderId="20" xfId="0" applyNumberFormat="1" applyFont="1" applyFill="1" applyBorder="1" applyAlignment="1" applyProtection="1">
      <alignment horizontal="left"/>
      <protection locked="0"/>
    </xf>
    <xf numFmtId="3" fontId="3" fillId="9" borderId="20" xfId="0" applyNumberFormat="1" applyFont="1" applyFill="1" applyBorder="1" applyProtection="1">
      <protection locked="0"/>
    </xf>
    <xf numFmtId="0" fontId="0" fillId="12" borderId="20" xfId="0" applyFill="1" applyBorder="1" applyProtection="1">
      <protection locked="0"/>
    </xf>
    <xf numFmtId="4" fontId="3" fillId="9" borderId="20" xfId="0" applyNumberFormat="1" applyFont="1" applyFill="1" applyBorder="1"/>
    <xf numFmtId="0" fontId="0" fillId="0" borderId="20" xfId="0" applyBorder="1"/>
    <xf numFmtId="44" fontId="0" fillId="0" borderId="20" xfId="1" applyFont="1" applyBorder="1" applyProtection="1">
      <protection locked="0"/>
    </xf>
    <xf numFmtId="44" fontId="0" fillId="0" borderId="20" xfId="1" applyFont="1" applyBorder="1"/>
    <xf numFmtId="0" fontId="2" fillId="0" borderId="20" xfId="0" applyFont="1" applyBorder="1" applyAlignment="1" applyProtection="1">
      <alignment horizontal="center"/>
      <protection locked="0"/>
    </xf>
    <xf numFmtId="14" fontId="0" fillId="0" borderId="20" xfId="0" applyNumberFormat="1" applyBorder="1" applyAlignment="1">
      <alignment horizontal="right"/>
    </xf>
    <xf numFmtId="14" fontId="0" fillId="0" borderId="20" xfId="0" applyNumberFormat="1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 wrapText="1"/>
      <protection locked="0"/>
    </xf>
    <xf numFmtId="0" fontId="0" fillId="0" borderId="0" xfId="0" applyAlignment="1" applyProtection="1">
      <alignment horizontal="left" vertical="center"/>
      <protection locked="0"/>
    </xf>
    <xf numFmtId="4" fontId="5" fillId="3" borderId="0" xfId="0" applyNumberFormat="1" applyFont="1" applyFill="1" applyProtection="1">
      <protection locked="0"/>
    </xf>
    <xf numFmtId="4" fontId="2" fillId="5" borderId="0" xfId="0" applyNumberFormat="1" applyFont="1" applyFill="1" applyProtection="1">
      <protection locked="0"/>
    </xf>
    <xf numFmtId="4" fontId="7" fillId="7" borderId="0" xfId="0" applyNumberFormat="1" applyFont="1" applyFill="1" applyProtection="1">
      <protection locked="0"/>
    </xf>
    <xf numFmtId="4" fontId="2" fillId="7" borderId="4" xfId="0" applyNumberFormat="1" applyFont="1" applyFill="1" applyBorder="1" applyProtection="1">
      <protection locked="0"/>
    </xf>
    <xf numFmtId="4" fontId="2" fillId="0" borderId="0" xfId="0" applyNumberFormat="1" applyFont="1" applyProtection="1">
      <protection locked="0"/>
    </xf>
    <xf numFmtId="0" fontId="2" fillId="8" borderId="14" xfId="0" applyFont="1" applyFill="1" applyBorder="1" applyAlignment="1" applyProtection="1">
      <alignment wrapText="1" shrinkToFit="1"/>
      <protection locked="0"/>
    </xf>
    <xf numFmtId="0" fontId="7" fillId="8" borderId="0" xfId="0" applyFont="1" applyFill="1" applyProtection="1">
      <protection locked="0"/>
    </xf>
    <xf numFmtId="0" fontId="3" fillId="8" borderId="4" xfId="0" applyFont="1" applyFill="1" applyBorder="1" applyProtection="1">
      <protection locked="0"/>
    </xf>
    <xf numFmtId="0" fontId="2" fillId="10" borderId="0" xfId="0" applyFont="1" applyFill="1" applyProtection="1">
      <protection locked="0"/>
    </xf>
    <xf numFmtId="0" fontId="7" fillId="10" borderId="10" xfId="0" applyFont="1" applyFill="1" applyBorder="1" applyProtection="1">
      <protection locked="0"/>
    </xf>
    <xf numFmtId="0" fontId="12" fillId="9" borderId="4" xfId="0" applyFont="1" applyFill="1" applyBorder="1" applyProtection="1">
      <protection locked="0"/>
    </xf>
    <xf numFmtId="0" fontId="3" fillId="9" borderId="0" xfId="0" applyFont="1" applyFill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9" borderId="5" xfId="0" applyFont="1" applyFill="1" applyBorder="1" applyAlignment="1" applyProtection="1">
      <alignment horizontal="right"/>
      <protection locked="0"/>
    </xf>
    <xf numFmtId="4" fontId="7" fillId="3" borderId="1" xfId="0" applyNumberFormat="1" applyFont="1" applyFill="1" applyBorder="1" applyAlignment="1" applyProtection="1">
      <alignment horizontal="left"/>
      <protection locked="0"/>
    </xf>
    <xf numFmtId="3" fontId="7" fillId="3" borderId="0" xfId="0" applyNumberFormat="1" applyFont="1" applyFill="1" applyProtection="1">
      <protection locked="0"/>
    </xf>
    <xf numFmtId="4" fontId="7" fillId="3" borderId="6" xfId="0" applyNumberFormat="1" applyFont="1" applyFill="1" applyBorder="1" applyProtection="1">
      <protection locked="0"/>
    </xf>
    <xf numFmtId="4" fontId="7" fillId="3" borderId="5" xfId="0" applyNumberFormat="1" applyFont="1" applyFill="1" applyBorder="1" applyProtection="1">
      <protection locked="0"/>
    </xf>
    <xf numFmtId="3" fontId="7" fillId="3" borderId="5" xfId="0" applyNumberFormat="1" applyFont="1" applyFill="1" applyBorder="1" applyProtection="1">
      <protection locked="0"/>
    </xf>
    <xf numFmtId="3" fontId="7" fillId="3" borderId="18" xfId="0" applyNumberFormat="1" applyFont="1" applyFill="1" applyBorder="1" applyProtection="1">
      <protection locked="0"/>
    </xf>
    <xf numFmtId="4" fontId="7" fillId="3" borderId="1" xfId="0" applyNumberFormat="1" applyFont="1" applyFill="1" applyBorder="1" applyProtection="1">
      <protection locked="0"/>
    </xf>
    <xf numFmtId="4" fontId="7" fillId="3" borderId="0" xfId="0" applyNumberFormat="1" applyFont="1" applyFill="1" applyProtection="1">
      <protection locked="0"/>
    </xf>
    <xf numFmtId="4" fontId="7" fillId="3" borderId="1" xfId="3" applyNumberFormat="1" applyFill="1" applyBorder="1" applyAlignment="1" applyProtection="1">
      <alignment horizontal="left"/>
      <protection locked="0"/>
    </xf>
    <xf numFmtId="4" fontId="7" fillId="3" borderId="0" xfId="0" applyNumberFormat="1" applyFont="1" applyFill="1" applyAlignment="1" applyProtection="1">
      <alignment horizontal="left"/>
      <protection locked="0"/>
    </xf>
    <xf numFmtId="4" fontId="7" fillId="0" borderId="1" xfId="0" applyNumberFormat="1" applyFont="1" applyBorder="1" applyProtection="1">
      <protection locked="0"/>
    </xf>
    <xf numFmtId="4" fontId="7" fillId="0" borderId="0" xfId="0" applyNumberFormat="1" applyFont="1" applyProtection="1">
      <protection locked="0"/>
    </xf>
    <xf numFmtId="3" fontId="7" fillId="0" borderId="0" xfId="0" applyNumberFormat="1" applyFont="1" applyProtection="1">
      <protection locked="0"/>
    </xf>
    <xf numFmtId="3" fontId="7" fillId="4" borderId="0" xfId="0" applyNumberFormat="1" applyFont="1" applyFill="1" applyProtection="1">
      <protection locked="0"/>
    </xf>
    <xf numFmtId="4" fontId="7" fillId="5" borderId="0" xfId="0" applyNumberFormat="1" applyFont="1" applyFill="1" applyProtection="1">
      <protection locked="0"/>
    </xf>
    <xf numFmtId="4" fontId="7" fillId="5" borderId="3" xfId="0" applyNumberFormat="1" applyFont="1" applyFill="1" applyBorder="1" applyProtection="1">
      <protection locked="0"/>
    </xf>
    <xf numFmtId="4" fontId="7" fillId="5" borderId="4" xfId="0" applyNumberFormat="1" applyFont="1" applyFill="1" applyBorder="1" applyProtection="1">
      <protection locked="0"/>
    </xf>
    <xf numFmtId="3" fontId="7" fillId="5" borderId="4" xfId="0" applyNumberFormat="1" applyFont="1" applyFill="1" applyBorder="1" applyProtection="1">
      <protection locked="0"/>
    </xf>
    <xf numFmtId="4" fontId="7" fillId="5" borderId="1" xfId="0" applyNumberFormat="1" applyFont="1" applyFill="1" applyBorder="1" applyProtection="1">
      <protection locked="0"/>
    </xf>
    <xf numFmtId="3" fontId="7" fillId="5" borderId="0" xfId="0" applyNumberFormat="1" applyFont="1" applyFill="1" applyProtection="1">
      <protection locked="0"/>
    </xf>
    <xf numFmtId="3" fontId="7" fillId="5" borderId="18" xfId="0" applyNumberFormat="1" applyFont="1" applyFill="1" applyBorder="1" applyProtection="1">
      <protection locked="0"/>
    </xf>
    <xf numFmtId="4" fontId="5" fillId="6" borderId="3" xfId="0" applyNumberFormat="1" applyFont="1" applyFill="1" applyBorder="1" applyAlignment="1" applyProtection="1">
      <alignment horizontal="left"/>
      <protection locked="0"/>
    </xf>
    <xf numFmtId="4" fontId="5" fillId="6" borderId="4" xfId="0" applyNumberFormat="1" applyFont="1" applyFill="1" applyBorder="1" applyAlignment="1" applyProtection="1">
      <alignment horizontal="left"/>
      <protection locked="0"/>
    </xf>
    <xf numFmtId="4" fontId="7" fillId="6" borderId="4" xfId="0" applyNumberFormat="1" applyFont="1" applyFill="1" applyBorder="1" applyProtection="1">
      <protection locked="0"/>
    </xf>
    <xf numFmtId="3" fontId="7" fillId="6" borderId="4" xfId="0" applyNumberFormat="1" applyFont="1" applyFill="1" applyBorder="1" applyProtection="1">
      <protection locked="0"/>
    </xf>
    <xf numFmtId="3" fontId="7" fillId="6" borderId="23" xfId="0" applyNumberFormat="1" applyFont="1" applyFill="1" applyBorder="1" applyProtection="1">
      <protection locked="0"/>
    </xf>
    <xf numFmtId="4" fontId="5" fillId="6" borderId="1" xfId="0" applyNumberFormat="1" applyFont="1" applyFill="1" applyBorder="1" applyAlignment="1" applyProtection="1">
      <alignment horizontal="left"/>
      <protection locked="0"/>
    </xf>
    <xf numFmtId="4" fontId="5" fillId="6" borderId="0" xfId="0" applyNumberFormat="1" applyFont="1" applyFill="1" applyAlignment="1" applyProtection="1">
      <alignment horizontal="left"/>
      <protection locked="0"/>
    </xf>
    <xf numFmtId="4" fontId="7" fillId="6" borderId="0" xfId="0" applyNumberFormat="1" applyFont="1" applyFill="1" applyProtection="1">
      <protection locked="0"/>
    </xf>
    <xf numFmtId="3" fontId="7" fillId="6" borderId="0" xfId="0" applyNumberFormat="1" applyFont="1" applyFill="1" applyProtection="1">
      <protection locked="0"/>
    </xf>
    <xf numFmtId="3" fontId="7" fillId="6" borderId="18" xfId="0" applyNumberFormat="1" applyFont="1" applyFill="1" applyBorder="1" applyProtection="1">
      <protection locked="0"/>
    </xf>
    <xf numFmtId="4" fontId="5" fillId="6" borderId="6" xfId="0" applyNumberFormat="1" applyFont="1" applyFill="1" applyBorder="1" applyAlignment="1" applyProtection="1">
      <alignment horizontal="left"/>
      <protection locked="0"/>
    </xf>
    <xf numFmtId="4" fontId="5" fillId="6" borderId="5" xfId="0" applyNumberFormat="1" applyFont="1" applyFill="1" applyBorder="1" applyAlignment="1" applyProtection="1">
      <alignment horizontal="left"/>
      <protection locked="0"/>
    </xf>
    <xf numFmtId="4" fontId="7" fillId="6" borderId="5" xfId="0" applyNumberFormat="1" applyFont="1" applyFill="1" applyBorder="1" applyProtection="1">
      <protection locked="0"/>
    </xf>
    <xf numFmtId="3" fontId="7" fillId="6" borderId="5" xfId="0" applyNumberFormat="1" applyFont="1" applyFill="1" applyBorder="1" applyProtection="1">
      <protection locked="0"/>
    </xf>
    <xf numFmtId="3" fontId="7" fillId="6" borderId="21" xfId="0" applyNumberFormat="1" applyFont="1" applyFill="1" applyBorder="1" applyProtection="1">
      <protection locked="0"/>
    </xf>
    <xf numFmtId="4" fontId="7" fillId="7" borderId="3" xfId="0" applyNumberFormat="1" applyFont="1" applyFill="1" applyBorder="1" applyProtection="1">
      <protection locked="0"/>
    </xf>
    <xf numFmtId="4" fontId="7" fillId="7" borderId="4" xfId="0" applyNumberFormat="1" applyFont="1" applyFill="1" applyBorder="1" applyProtection="1">
      <protection locked="0"/>
    </xf>
    <xf numFmtId="3" fontId="7" fillId="7" borderId="4" xfId="0" applyNumberFormat="1" applyFont="1" applyFill="1" applyBorder="1" applyProtection="1">
      <protection locked="0"/>
    </xf>
    <xf numFmtId="3" fontId="7" fillId="7" borderId="23" xfId="0" applyNumberFormat="1" applyFont="1" applyFill="1" applyBorder="1" applyProtection="1">
      <protection locked="0"/>
    </xf>
    <xf numFmtId="3" fontId="7" fillId="7" borderId="0" xfId="0" applyNumberFormat="1" applyFont="1" applyFill="1" applyProtection="1">
      <protection locked="0"/>
    </xf>
    <xf numFmtId="3" fontId="7" fillId="7" borderId="18" xfId="0" applyNumberFormat="1" applyFont="1" applyFill="1" applyBorder="1" applyProtection="1">
      <protection locked="0"/>
    </xf>
    <xf numFmtId="3" fontId="7" fillId="7" borderId="0" xfId="0" applyNumberFormat="1" applyFont="1" applyFill="1"/>
    <xf numFmtId="3" fontId="2" fillId="7" borderId="5" xfId="0" applyNumberFormat="1" applyFont="1" applyFill="1" applyBorder="1" applyAlignment="1" applyProtection="1">
      <alignment horizontal="right"/>
      <protection locked="0"/>
    </xf>
    <xf numFmtId="3" fontId="2" fillId="7" borderId="21" xfId="0" applyNumberFormat="1" applyFont="1" applyFill="1" applyBorder="1" applyAlignment="1" applyProtection="1">
      <alignment horizontal="right"/>
      <protection locked="0"/>
    </xf>
    <xf numFmtId="3" fontId="7" fillId="7" borderId="3" xfId="0" applyNumberFormat="1" applyFont="1" applyFill="1" applyBorder="1" applyProtection="1">
      <protection locked="0"/>
    </xf>
    <xf numFmtId="3" fontId="7" fillId="7" borderId="20" xfId="0" applyNumberFormat="1" applyFont="1" applyFill="1" applyBorder="1" applyProtection="1">
      <protection locked="0"/>
    </xf>
    <xf numFmtId="3" fontId="7" fillId="8" borderId="2" xfId="0" applyNumberFormat="1" applyFont="1" applyFill="1" applyBorder="1" applyProtection="1">
      <protection locked="0"/>
    </xf>
    <xf numFmtId="3" fontId="7" fillId="8" borderId="20" xfId="0" applyNumberFormat="1" applyFont="1" applyFill="1" applyBorder="1" applyProtection="1">
      <protection locked="0"/>
    </xf>
    <xf numFmtId="4" fontId="7" fillId="7" borderId="6" xfId="0" applyNumberFormat="1" applyFont="1" applyFill="1" applyBorder="1" applyProtection="1">
      <protection locked="0"/>
    </xf>
    <xf numFmtId="3" fontId="7" fillId="7" borderId="21" xfId="0" applyNumberFormat="1" applyFont="1" applyFill="1" applyBorder="1" applyProtection="1">
      <protection locked="0"/>
    </xf>
    <xf numFmtId="4" fontId="7" fillId="0" borderId="2" xfId="0" applyNumberFormat="1" applyFont="1" applyBorder="1" applyProtection="1">
      <protection locked="0"/>
    </xf>
    <xf numFmtId="4" fontId="7" fillId="0" borderId="9" xfId="0" applyNumberFormat="1" applyFont="1" applyBorder="1" applyProtection="1">
      <protection locked="0"/>
    </xf>
    <xf numFmtId="3" fontId="7" fillId="0" borderId="18" xfId="0" applyNumberFormat="1" applyFont="1" applyBorder="1" applyProtection="1">
      <protection locked="0"/>
    </xf>
    <xf numFmtId="4" fontId="3" fillId="0" borderId="1" xfId="0" applyNumberFormat="1" applyFont="1" applyBorder="1" applyProtection="1">
      <protection locked="0"/>
    </xf>
    <xf numFmtId="4" fontId="2" fillId="13" borderId="0" xfId="0" applyNumberFormat="1" applyFont="1" applyFill="1" applyProtection="1">
      <protection locked="0"/>
    </xf>
    <xf numFmtId="164" fontId="18" fillId="2" borderId="22" xfId="0" applyNumberFormat="1" applyFont="1" applyFill="1" applyBorder="1"/>
    <xf numFmtId="164" fontId="18" fillId="2" borderId="0" xfId="0" applyNumberFormat="1" applyFont="1" applyFill="1"/>
    <xf numFmtId="14" fontId="7" fillId="0" borderId="0" xfId="0" applyNumberFormat="1" applyFont="1" applyProtection="1">
      <protection locked="0"/>
    </xf>
    <xf numFmtId="0" fontId="7" fillId="8" borderId="0" xfId="0" applyFont="1" applyFill="1" applyAlignment="1" applyProtection="1">
      <alignment horizontal="right"/>
      <protection locked="0"/>
    </xf>
    <xf numFmtId="0" fontId="7" fillId="11" borderId="0" xfId="0" applyFont="1" applyFill="1" applyAlignment="1" applyProtection="1">
      <alignment horizontal="right"/>
      <protection locked="0"/>
    </xf>
    <xf numFmtId="0" fontId="2" fillId="8" borderId="0" xfId="0" applyFont="1" applyFill="1" applyAlignment="1" applyProtection="1">
      <alignment horizontal="center" wrapText="1" shrinkToFit="1"/>
      <protection locked="0"/>
    </xf>
    <xf numFmtId="3" fontId="2" fillId="8" borderId="0" xfId="0" applyNumberFormat="1" applyFont="1" applyFill="1" applyAlignment="1" applyProtection="1">
      <alignment horizontal="right" wrapText="1"/>
      <protection locked="0"/>
    </xf>
    <xf numFmtId="164" fontId="7" fillId="8" borderId="0" xfId="0" applyNumberFormat="1" applyFont="1" applyFill="1" applyAlignment="1">
      <alignment horizontal="center"/>
    </xf>
    <xf numFmtId="164" fontId="7" fillId="8" borderId="0" xfId="0" applyNumberFormat="1" applyFont="1" applyFill="1" applyAlignment="1">
      <alignment horizontal="right"/>
    </xf>
    <xf numFmtId="3" fontId="7" fillId="8" borderId="0" xfId="0" applyNumberFormat="1" applyFont="1" applyFill="1" applyAlignment="1" applyProtection="1">
      <alignment horizontal="right"/>
      <protection locked="0"/>
    </xf>
    <xf numFmtId="164" fontId="7" fillId="8" borderId="0" xfId="0" applyNumberFormat="1" applyFont="1" applyFill="1" applyAlignment="1" applyProtection="1">
      <alignment horizontal="right"/>
      <protection locked="0"/>
    </xf>
    <xf numFmtId="0" fontId="7" fillId="8" borderId="4" xfId="0" applyFont="1" applyFill="1" applyBorder="1" applyProtection="1">
      <protection locked="0"/>
    </xf>
    <xf numFmtId="0" fontId="7" fillId="8" borderId="24" xfId="0" applyFont="1" applyFill="1" applyBorder="1" applyProtection="1">
      <protection locked="0"/>
    </xf>
    <xf numFmtId="0" fontId="7" fillId="8" borderId="10" xfId="0" applyFont="1" applyFill="1" applyBorder="1" applyProtection="1">
      <protection locked="0"/>
    </xf>
    <xf numFmtId="3" fontId="7" fillId="8" borderId="10" xfId="0" applyNumberFormat="1" applyFont="1" applyFill="1" applyBorder="1" applyProtection="1">
      <protection locked="0"/>
    </xf>
    <xf numFmtId="0" fontId="7" fillId="10" borderId="28" xfId="0" applyFont="1" applyFill="1" applyBorder="1" applyProtection="1">
      <protection locked="0"/>
    </xf>
    <xf numFmtId="0" fontId="7" fillId="10" borderId="5" xfId="0" applyFont="1" applyFill="1" applyBorder="1" applyProtection="1">
      <protection locked="0"/>
    </xf>
    <xf numFmtId="3" fontId="7" fillId="10" borderId="5" xfId="0" applyNumberFormat="1" applyFont="1" applyFill="1" applyBorder="1" applyProtection="1">
      <protection locked="0"/>
    </xf>
    <xf numFmtId="3" fontId="7" fillId="10" borderId="0" xfId="0" applyNumberFormat="1" applyFont="1" applyFill="1" applyProtection="1">
      <protection locked="0"/>
    </xf>
    <xf numFmtId="3" fontId="7" fillId="10" borderId="0" xfId="0" applyNumberFormat="1" applyFont="1" applyFill="1" applyAlignment="1" applyProtection="1">
      <alignment horizontal="right"/>
      <protection locked="0"/>
    </xf>
    <xf numFmtId="0" fontId="7" fillId="10" borderId="12" xfId="0" applyFont="1" applyFill="1" applyBorder="1" applyProtection="1">
      <protection locked="0"/>
    </xf>
    <xf numFmtId="0" fontId="7" fillId="10" borderId="0" xfId="0" applyFont="1" applyFill="1" applyProtection="1">
      <protection locked="0"/>
    </xf>
    <xf numFmtId="3" fontId="7" fillId="10" borderId="10" xfId="0" applyNumberFormat="1" applyFont="1" applyFill="1" applyBorder="1"/>
    <xf numFmtId="3" fontId="7" fillId="10" borderId="10" xfId="0" applyNumberFormat="1" applyFont="1" applyFill="1" applyBorder="1" applyAlignment="1">
      <alignment horizontal="right"/>
    </xf>
    <xf numFmtId="0" fontId="7" fillId="0" borderId="20" xfId="0" applyFont="1" applyBorder="1"/>
    <xf numFmtId="44" fontId="0" fillId="0" borderId="20" xfId="0" applyNumberFormat="1" applyBorder="1"/>
    <xf numFmtId="0" fontId="0" fillId="0" borderId="20" xfId="0" applyBorder="1" applyAlignment="1" applyProtection="1">
      <alignment horizontal="center"/>
      <protection locked="0"/>
    </xf>
    <xf numFmtId="0" fontId="2" fillId="0" borderId="20" xfId="0" applyFont="1" applyBorder="1" applyAlignment="1">
      <alignment horizontal="center" wrapText="1"/>
    </xf>
    <xf numFmtId="3" fontId="2" fillId="0" borderId="20" xfId="0" applyNumberFormat="1" applyFont="1" applyBorder="1" applyAlignment="1">
      <alignment horizontal="center" wrapText="1"/>
    </xf>
    <xf numFmtId="0" fontId="2" fillId="0" borderId="20" xfId="0" applyFont="1" applyBorder="1" applyAlignment="1" applyProtection="1">
      <alignment horizontal="center" wrapText="1"/>
      <protection locked="0"/>
    </xf>
    <xf numFmtId="0" fontId="7" fillId="0" borderId="0" xfId="0" applyFont="1"/>
    <xf numFmtId="14" fontId="7" fillId="0" borderId="20" xfId="0" applyNumberFormat="1" applyFont="1" applyBorder="1"/>
    <xf numFmtId="0" fontId="2" fillId="0" borderId="0" xfId="0" applyFont="1"/>
    <xf numFmtId="0" fontId="7" fillId="0" borderId="20" xfId="0" applyFont="1" applyBorder="1" applyAlignment="1" applyProtection="1">
      <alignment horizontal="left"/>
      <protection locked="0"/>
    </xf>
    <xf numFmtId="0" fontId="2" fillId="0" borderId="20" xfId="0" applyFont="1" applyBorder="1"/>
    <xf numFmtId="9" fontId="0" fillId="0" borderId="20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4" fontId="7" fillId="9" borderId="20" xfId="0" applyNumberFormat="1" applyFont="1" applyFill="1" applyBorder="1" applyAlignment="1" applyProtection="1">
      <alignment horizontal="left"/>
      <protection locked="0"/>
    </xf>
    <xf numFmtId="0" fontId="19" fillId="0" borderId="0" xfId="5"/>
    <xf numFmtId="4" fontId="2" fillId="3" borderId="5" xfId="0" applyNumberFormat="1" applyFont="1" applyFill="1" applyBorder="1" applyAlignment="1" applyProtection="1">
      <alignment horizontal="center"/>
      <protection locked="0"/>
    </xf>
    <xf numFmtId="0" fontId="0" fillId="9" borderId="20" xfId="0" applyFill="1" applyBorder="1" applyProtection="1">
      <protection locked="0"/>
    </xf>
    <xf numFmtId="4" fontId="5" fillId="0" borderId="0" xfId="0" applyNumberFormat="1" applyFont="1"/>
    <xf numFmtId="165" fontId="2" fillId="0" borderId="20" xfId="0" applyNumberFormat="1" applyFont="1" applyBorder="1" applyAlignment="1" applyProtection="1">
      <alignment horizontal="right"/>
      <protection locked="0"/>
    </xf>
    <xf numFmtId="3" fontId="2" fillId="0" borderId="17" xfId="0" applyNumberFormat="1" applyFont="1" applyBorder="1"/>
    <xf numFmtId="3" fontId="2" fillId="0" borderId="18" xfId="0" applyNumberFormat="1" applyFont="1" applyBorder="1" applyProtection="1">
      <protection locked="0"/>
    </xf>
    <xf numFmtId="3" fontId="2" fillId="0" borderId="17" xfId="0" applyNumberFormat="1" applyFont="1" applyBorder="1" applyProtection="1">
      <protection locked="0"/>
    </xf>
    <xf numFmtId="3" fontId="2" fillId="0" borderId="16" xfId="0" applyNumberFormat="1" applyFont="1" applyBorder="1"/>
    <xf numFmtId="3" fontId="2" fillId="0" borderId="17" xfId="0" applyNumberFormat="1" applyFont="1" applyBorder="1" applyAlignment="1">
      <alignment vertical="top"/>
    </xf>
    <xf numFmtId="3" fontId="2" fillId="0" borderId="20" xfId="0" applyNumberFormat="1" applyFont="1" applyBorder="1"/>
    <xf numFmtId="3" fontId="2" fillId="0" borderId="18" xfId="0" applyNumberFormat="1" applyFont="1" applyBorder="1"/>
    <xf numFmtId="3" fontId="2" fillId="0" borderId="18" xfId="0" applyNumberFormat="1" applyFont="1" applyBorder="1" applyAlignment="1" applyProtection="1">
      <alignment horizontal="center"/>
      <protection locked="0"/>
    </xf>
    <xf numFmtId="3" fontId="2" fillId="0" borderId="23" xfId="0" applyNumberFormat="1" applyFont="1" applyBorder="1"/>
    <xf numFmtId="0" fontId="16" fillId="0" borderId="0" xfId="0" applyFont="1" applyProtection="1">
      <protection locked="0"/>
    </xf>
    <xf numFmtId="14" fontId="16" fillId="0" borderId="0" xfId="0" applyNumberFormat="1" applyFont="1" applyProtection="1">
      <protection locked="0"/>
    </xf>
    <xf numFmtId="4" fontId="1" fillId="3" borderId="3" xfId="0" applyNumberFormat="1" applyFont="1" applyFill="1" applyBorder="1" applyAlignment="1" applyProtection="1">
      <alignment horizontal="left"/>
      <protection locked="0"/>
    </xf>
    <xf numFmtId="4" fontId="1" fillId="3" borderId="1" xfId="0" applyNumberFormat="1" applyFont="1" applyFill="1" applyBorder="1" applyAlignment="1" applyProtection="1">
      <alignment horizontal="left"/>
      <protection locked="0"/>
    </xf>
    <xf numFmtId="4" fontId="1" fillId="3" borderId="1" xfId="3" applyNumberFormat="1" applyFont="1" applyFill="1" applyBorder="1" applyAlignment="1" applyProtection="1">
      <alignment horizontal="left"/>
      <protection locked="0"/>
    </xf>
    <xf numFmtId="4" fontId="1" fillId="0" borderId="1" xfId="0" applyNumberFormat="1" applyFont="1" applyBorder="1" applyProtection="1">
      <protection locked="0"/>
    </xf>
    <xf numFmtId="4" fontId="7" fillId="8" borderId="2" xfId="0" applyNumberFormat="1" applyFont="1" applyFill="1" applyBorder="1" applyAlignment="1" applyProtection="1">
      <alignment horizontal="left"/>
      <protection locked="0"/>
    </xf>
    <xf numFmtId="4" fontId="7" fillId="8" borderId="9" xfId="0" applyNumberFormat="1" applyFont="1" applyFill="1" applyBorder="1" applyAlignment="1" applyProtection="1">
      <alignment horizontal="left"/>
      <protection locked="0"/>
    </xf>
    <xf numFmtId="4" fontId="7" fillId="8" borderId="19" xfId="0" applyNumberFormat="1" applyFont="1" applyFill="1" applyBorder="1" applyAlignment="1" applyProtection="1">
      <alignment horizontal="left"/>
      <protection locked="0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165" fontId="20" fillId="12" borderId="20" xfId="0" applyNumberFormat="1" applyFont="1" applyFill="1" applyBorder="1" applyAlignment="1" applyProtection="1">
      <alignment horizontal="left"/>
      <protection locked="0"/>
    </xf>
    <xf numFmtId="165" fontId="0" fillId="12" borderId="20" xfId="0" applyNumberFormat="1" applyFill="1" applyBorder="1" applyAlignment="1" applyProtection="1">
      <alignment horizontal="left"/>
      <protection locked="0"/>
    </xf>
    <xf numFmtId="165" fontId="20" fillId="12" borderId="2" xfId="0" applyNumberFormat="1" applyFont="1" applyFill="1" applyBorder="1" applyAlignment="1" applyProtection="1">
      <alignment horizontal="left"/>
      <protection locked="0"/>
    </xf>
    <xf numFmtId="165" fontId="0" fillId="12" borderId="9" xfId="0" applyNumberFormat="1" applyFill="1" applyBorder="1" applyAlignment="1" applyProtection="1">
      <alignment horizontal="left"/>
      <protection locked="0"/>
    </xf>
    <xf numFmtId="165" fontId="0" fillId="12" borderId="19" xfId="0" applyNumberFormat="1" applyFill="1" applyBorder="1" applyAlignment="1" applyProtection="1">
      <alignment horizontal="left"/>
      <protection locked="0"/>
    </xf>
    <xf numFmtId="165" fontId="0" fillId="12" borderId="20" xfId="0" applyNumberFormat="1" applyFill="1" applyBorder="1" applyAlignment="1" applyProtection="1">
      <alignment horizontal="center"/>
      <protection locked="0"/>
    </xf>
    <xf numFmtId="4" fontId="7" fillId="9" borderId="2" xfId="0" applyNumberFormat="1" applyFont="1" applyFill="1" applyBorder="1" applyAlignment="1" applyProtection="1">
      <alignment horizontal="center"/>
      <protection locked="0"/>
    </xf>
    <xf numFmtId="4" fontId="7" fillId="9" borderId="19" xfId="0" applyNumberFormat="1" applyFont="1" applyFill="1" applyBorder="1" applyAlignment="1" applyProtection="1">
      <alignment horizontal="center"/>
      <protection locked="0"/>
    </xf>
    <xf numFmtId="4" fontId="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" fontId="2" fillId="3" borderId="0" xfId="0" applyNumberFormat="1" applyFont="1" applyFill="1" applyAlignment="1" applyProtection="1">
      <alignment horizontal="left" vertical="top" wrapText="1" shrinkToFit="1"/>
      <protection locked="0"/>
    </xf>
    <xf numFmtId="4" fontId="7" fillId="7" borderId="2" xfId="0" applyNumberFormat="1" applyFont="1" applyFill="1" applyBorder="1" applyAlignment="1" applyProtection="1">
      <alignment horizontal="center"/>
      <protection locked="0"/>
    </xf>
    <xf numFmtId="4" fontId="7" fillId="7" borderId="19" xfId="0" applyNumberFormat="1" applyFont="1" applyFill="1" applyBorder="1" applyAlignment="1" applyProtection="1">
      <alignment horizontal="center"/>
      <protection locked="0"/>
    </xf>
    <xf numFmtId="4" fontId="7" fillId="8" borderId="2" xfId="0" applyNumberFormat="1" applyFont="1" applyFill="1" applyBorder="1" applyAlignment="1" applyProtection="1">
      <alignment horizontal="right"/>
      <protection locked="0"/>
    </xf>
    <xf numFmtId="4" fontId="7" fillId="8" borderId="9" xfId="0" applyNumberFormat="1" applyFont="1" applyFill="1" applyBorder="1" applyAlignment="1" applyProtection="1">
      <alignment horizontal="right"/>
      <protection locked="0"/>
    </xf>
    <xf numFmtId="4" fontId="7" fillId="8" borderId="19" xfId="0" applyNumberFormat="1" applyFont="1" applyFill="1" applyBorder="1" applyAlignment="1" applyProtection="1">
      <alignment horizontal="right"/>
      <protection locked="0"/>
    </xf>
    <xf numFmtId="4" fontId="1" fillId="4" borderId="3" xfId="0" applyNumberFormat="1" applyFont="1" applyFill="1" applyBorder="1" applyAlignment="1" applyProtection="1">
      <alignment horizontal="left"/>
      <protection locked="0"/>
    </xf>
    <xf numFmtId="4" fontId="7" fillId="4" borderId="4" xfId="0" applyNumberFormat="1" applyFont="1" applyFill="1" applyBorder="1" applyAlignment="1" applyProtection="1">
      <alignment horizontal="left"/>
      <protection locked="0"/>
    </xf>
    <xf numFmtId="4" fontId="1" fillId="4" borderId="1" xfId="0" applyNumberFormat="1" applyFont="1" applyFill="1" applyBorder="1" applyAlignment="1" applyProtection="1">
      <alignment horizontal="left"/>
      <protection locked="0"/>
    </xf>
    <xf numFmtId="4" fontId="7" fillId="4" borderId="0" xfId="0" applyNumberFormat="1" applyFont="1" applyFill="1" applyAlignment="1" applyProtection="1">
      <alignment horizontal="left"/>
      <protection locked="0"/>
    </xf>
    <xf numFmtId="0" fontId="7" fillId="13" borderId="3" xfId="0" applyFont="1" applyFill="1" applyBorder="1" applyAlignment="1">
      <alignment horizontal="left" vertical="top" wrapText="1"/>
    </xf>
    <xf numFmtId="0" fontId="7" fillId="13" borderId="23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7" fillId="13" borderId="18" xfId="0" applyFont="1" applyFill="1" applyBorder="1" applyAlignment="1">
      <alignment horizontal="left" vertical="top" wrapText="1"/>
    </xf>
    <xf numFmtId="0" fontId="7" fillId="13" borderId="6" xfId="0" applyFont="1" applyFill="1" applyBorder="1" applyAlignment="1">
      <alignment horizontal="left" vertical="top" wrapText="1"/>
    </xf>
    <xf numFmtId="0" fontId="7" fillId="13" borderId="21" xfId="0" applyFont="1" applyFill="1" applyBorder="1" applyAlignment="1">
      <alignment horizontal="left" vertical="top" wrapText="1"/>
    </xf>
    <xf numFmtId="4" fontId="2" fillId="3" borderId="0" xfId="0" applyNumberFormat="1" applyFont="1" applyFill="1" applyAlignment="1" applyProtection="1">
      <alignment horizontal="center"/>
      <protection locked="0"/>
    </xf>
    <xf numFmtId="4" fontId="7" fillId="3" borderId="4" xfId="0" applyNumberFormat="1" applyFont="1" applyFill="1" applyBorder="1" applyAlignment="1" applyProtection="1">
      <alignment horizontal="center"/>
      <protection locked="0"/>
    </xf>
    <xf numFmtId="165" fontId="0" fillId="12" borderId="2" xfId="0" applyNumberFormat="1" applyFill="1" applyBorder="1" applyAlignment="1" applyProtection="1">
      <alignment horizontal="center"/>
      <protection locked="0"/>
    </xf>
    <xf numFmtId="165" fontId="0" fillId="12" borderId="19" xfId="0" applyNumberFormat="1" applyFill="1" applyBorder="1" applyAlignment="1" applyProtection="1">
      <alignment horizontal="center"/>
      <protection locked="0"/>
    </xf>
    <xf numFmtId="4" fontId="7" fillId="4" borderId="1" xfId="0" applyNumberFormat="1" applyFont="1" applyFill="1" applyBorder="1" applyAlignment="1" applyProtection="1">
      <alignment horizontal="left"/>
      <protection locked="0"/>
    </xf>
    <xf numFmtId="4" fontId="7" fillId="4" borderId="6" xfId="0" applyNumberFormat="1" applyFont="1" applyFill="1" applyBorder="1" applyAlignment="1" applyProtection="1">
      <alignment horizontal="left"/>
      <protection locked="0"/>
    </xf>
    <xf numFmtId="4" fontId="7" fillId="4" borderId="5" xfId="0" applyNumberFormat="1" applyFont="1" applyFill="1" applyBorder="1" applyAlignment="1" applyProtection="1">
      <alignment horizontal="left"/>
      <protection locked="0"/>
    </xf>
    <xf numFmtId="4" fontId="7" fillId="7" borderId="2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4" fontId="3" fillId="0" borderId="0" xfId="0" applyNumberFormat="1" applyFont="1"/>
    <xf numFmtId="4" fontId="23" fillId="7" borderId="20" xfId="0" applyNumberFormat="1" applyFont="1" applyFill="1" applyBorder="1" applyAlignment="1" applyProtection="1">
      <alignment horizontal="center"/>
      <protection locked="0"/>
    </xf>
    <xf numFmtId="4" fontId="23" fillId="7" borderId="2" xfId="0" applyNumberFormat="1" applyFont="1" applyFill="1" applyBorder="1" applyAlignment="1" applyProtection="1">
      <alignment horizontal="center"/>
      <protection locked="0"/>
    </xf>
    <xf numFmtId="4" fontId="23" fillId="7" borderId="19" xfId="0" applyNumberFormat="1" applyFont="1" applyFill="1" applyBorder="1" applyAlignment="1" applyProtection="1">
      <alignment horizontal="center"/>
      <protection locked="0"/>
    </xf>
    <xf numFmtId="3" fontId="23" fillId="7" borderId="3" xfId="0" applyNumberFormat="1" applyFont="1" applyFill="1" applyBorder="1" applyProtection="1">
      <protection locked="0"/>
    </xf>
    <xf numFmtId="3" fontId="24" fillId="0" borderId="0" xfId="0" applyNumberFormat="1" applyFont="1" applyProtection="1">
      <protection locked="0"/>
    </xf>
  </cellXfs>
  <cellStyles count="6">
    <cellStyle name="Currency" xfId="1" builtinId="4"/>
    <cellStyle name="Currency 2" xfId="2" xr:uid="{00000000-0005-0000-0000-000001000000}"/>
    <cellStyle name="Hyperlink" xfId="5" builtinId="8"/>
    <cellStyle name="Normal" xfId="0" builtinId="0"/>
    <cellStyle name="Normal 2" xfId="3" xr:uid="{00000000-0005-0000-0000-000003000000}"/>
    <cellStyle name="Percent" xfId="4" builtinId="5"/>
  </cellStyles>
  <dxfs count="10"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  <dxf>
      <border outline="0">
        <left style="thin">
          <color indexed="64"/>
        </left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J110:J114" totalsRowShown="0" headerRowDxfId="9" dataDxfId="8" tableBorderDxfId="7">
  <autoFilter ref="J110:J114" xr:uid="{00000000-0009-0000-0100-000002000000}"/>
  <tableColumns count="1">
    <tableColumn id="1" xr3:uid="{00000000-0010-0000-0000-000001000000}" name="Negotiated Rate Tabl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7F9A4-2210-4D4C-BCF4-3812E8CBE25E}" name="Table1" displayName="Table1" ref="M110:M114" totalsRowShown="0" headerRowDxfId="5" dataDxfId="4">
  <autoFilter ref="M110:M114" xr:uid="{4EE7F9A4-2210-4D4C-BCF4-3812E8CBE25E}"/>
  <tableColumns count="1">
    <tableColumn id="1" xr3:uid="{759B23A8-F811-4FF3-A300-6E7C16F73D55}" name="Appt Type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3980FE-FA19-4387-BF67-C86167A8E23D}" name="Table3" displayName="Table3" ref="L110:L115" totalsRowShown="0" headerRowDxfId="2" dataDxfId="1">
  <autoFilter ref="L110:L115" xr:uid="{173980FE-FA19-4387-BF67-C86167A8E23D}"/>
  <tableColumns count="1">
    <tableColumn id="1" xr3:uid="{B969A020-57B0-4220-975A-1D9B1E7A60E9}" name="Ro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2:P122"/>
  <sheetViews>
    <sheetView tabSelected="1" topLeftCell="A54" zoomScaleNormal="100" workbookViewId="0">
      <selection activeCell="L63" sqref="L63"/>
    </sheetView>
  </sheetViews>
  <sheetFormatPr defaultColWidth="9.1796875" defaultRowHeight="13" x14ac:dyDescent="0.3"/>
  <cols>
    <col min="1" max="1" width="35.1796875" style="3" customWidth="1"/>
    <col min="2" max="2" width="13.1796875" style="3" customWidth="1"/>
    <col min="3" max="3" width="10" style="3" customWidth="1"/>
    <col min="4" max="4" width="16.81640625" style="3" customWidth="1"/>
    <col min="5" max="5" width="12.36328125" style="3" bestFit="1" customWidth="1"/>
    <col min="6" max="8" width="12.36328125" style="3" customWidth="1"/>
    <col min="9" max="9" width="13.81640625" style="3" customWidth="1"/>
    <col min="10" max="10" width="22.6328125" style="1" customWidth="1"/>
    <col min="11" max="11" width="4.453125" style="1" customWidth="1"/>
    <col min="12" max="12" width="26.1796875" style="1" customWidth="1"/>
    <col min="13" max="13" width="19" style="1" customWidth="1"/>
    <col min="14" max="14" width="16.453125" style="3" customWidth="1"/>
    <col min="15" max="15" width="13.36328125" style="3" customWidth="1"/>
    <col min="16" max="16" width="7.453125" style="3" customWidth="1"/>
    <col min="17" max="20" width="7.453125" style="3" bestFit="1" customWidth="1"/>
    <col min="21" max="21" width="6" style="3" bestFit="1" customWidth="1"/>
    <col min="22" max="16384" width="9.1796875" style="3"/>
  </cols>
  <sheetData>
    <row r="2" spans="1:15" ht="15" customHeight="1" x14ac:dyDescent="0.35">
      <c r="A2" s="267" t="s">
        <v>20</v>
      </c>
      <c r="B2" s="279" t="s">
        <v>140</v>
      </c>
      <c r="C2" s="280"/>
      <c r="D2" s="280"/>
      <c r="E2" s="280"/>
      <c r="F2" s="280"/>
      <c r="G2" s="280"/>
      <c r="H2" s="280"/>
      <c r="I2" s="280"/>
      <c r="J2" s="280"/>
      <c r="K2" s="108"/>
      <c r="L2" s="131" t="s">
        <v>60</v>
      </c>
      <c r="M2" s="131"/>
      <c r="N2" s="298" t="s">
        <v>119</v>
      </c>
      <c r="O2" s="299"/>
    </row>
    <row r="3" spans="1:15" ht="15" customHeight="1" x14ac:dyDescent="0.35">
      <c r="A3" s="267" t="s">
        <v>36</v>
      </c>
      <c r="B3" s="279" t="s">
        <v>141</v>
      </c>
      <c r="C3" s="280"/>
      <c r="D3" s="280"/>
      <c r="E3" s="280"/>
      <c r="F3" s="280"/>
      <c r="G3" s="280"/>
      <c r="H3" s="280"/>
      <c r="I3" s="280"/>
      <c r="J3" s="280"/>
      <c r="K3" s="109"/>
      <c r="L3" s="131" t="s">
        <v>61</v>
      </c>
      <c r="M3" s="131"/>
      <c r="N3" s="300"/>
      <c r="O3" s="301"/>
    </row>
    <row r="4" spans="1:15" ht="15" customHeight="1" x14ac:dyDescent="0.35">
      <c r="A4" s="267" t="s">
        <v>78</v>
      </c>
      <c r="B4" s="281" t="s">
        <v>142</v>
      </c>
      <c r="C4" s="282"/>
      <c r="D4" s="282"/>
      <c r="E4" s="282"/>
      <c r="F4" s="283"/>
      <c r="G4" s="276" t="s">
        <v>56</v>
      </c>
      <c r="H4" s="277"/>
      <c r="I4" s="278"/>
      <c r="J4" s="126"/>
      <c r="K4" s="108"/>
      <c r="L4" s="131" t="s">
        <v>70</v>
      </c>
      <c r="M4" s="131"/>
      <c r="N4" s="300"/>
      <c r="O4" s="301"/>
    </row>
    <row r="5" spans="1:15" ht="15" customHeight="1" x14ac:dyDescent="0.3">
      <c r="A5" s="268" t="s">
        <v>96</v>
      </c>
      <c r="B5" s="306"/>
      <c r="C5" s="307"/>
      <c r="D5" s="257" t="s">
        <v>127</v>
      </c>
      <c r="E5" s="284"/>
      <c r="F5" s="284"/>
      <c r="G5" s="14"/>
      <c r="H5" s="10" t="s">
        <v>53</v>
      </c>
      <c r="I5" s="134"/>
      <c r="J5" s="2"/>
      <c r="K5" s="2"/>
      <c r="L5" s="132" t="s">
        <v>120</v>
      </c>
      <c r="M5" s="132"/>
      <c r="N5" s="302"/>
      <c r="O5" s="303"/>
    </row>
    <row r="6" spans="1:15" ht="15.75" customHeight="1" x14ac:dyDescent="0.3">
      <c r="A6" s="10"/>
      <c r="B6" s="10"/>
      <c r="C6" s="10"/>
      <c r="D6" s="43"/>
      <c r="E6" s="15"/>
      <c r="F6" s="43"/>
      <c r="G6" s="14"/>
      <c r="H6" s="10"/>
      <c r="I6" s="61"/>
      <c r="J6" s="2"/>
      <c r="K6" s="2"/>
      <c r="L6" s="2"/>
      <c r="M6" s="2"/>
      <c r="N6" s="4"/>
      <c r="O6" s="4"/>
    </row>
    <row r="7" spans="1:15" s="4" customFormat="1" x14ac:dyDescent="0.3">
      <c r="E7" s="52" t="s">
        <v>8</v>
      </c>
      <c r="F7" s="52" t="s">
        <v>9</v>
      </c>
      <c r="G7" s="52" t="s">
        <v>10</v>
      </c>
      <c r="H7" s="52" t="s">
        <v>11</v>
      </c>
      <c r="I7" s="52" t="s">
        <v>12</v>
      </c>
      <c r="J7" s="66" t="s">
        <v>17</v>
      </c>
      <c r="K7" s="9"/>
      <c r="L7" s="4" t="s">
        <v>133</v>
      </c>
      <c r="M7" s="4" t="s">
        <v>89</v>
      </c>
      <c r="N7" s="8" t="s">
        <v>126</v>
      </c>
      <c r="O7" s="8"/>
    </row>
    <row r="8" spans="1:15" s="8" customFormat="1" x14ac:dyDescent="0.3">
      <c r="A8" s="36" t="s">
        <v>138</v>
      </c>
      <c r="B8" s="254" t="s">
        <v>91</v>
      </c>
      <c r="C8" s="254" t="s">
        <v>92</v>
      </c>
      <c r="D8" s="254" t="s">
        <v>49</v>
      </c>
      <c r="E8" s="36"/>
      <c r="F8" s="36"/>
      <c r="G8" s="36"/>
      <c r="H8" s="36"/>
      <c r="I8" s="36"/>
      <c r="J8" s="37"/>
      <c r="K8" s="110"/>
      <c r="N8" s="97"/>
      <c r="O8" s="97"/>
    </row>
    <row r="9" spans="1:15" x14ac:dyDescent="0.3">
      <c r="A9" s="269" t="s">
        <v>140</v>
      </c>
      <c r="B9" s="252" t="s">
        <v>79</v>
      </c>
      <c r="C9" s="252">
        <v>100</v>
      </c>
      <c r="D9" s="122">
        <v>2</v>
      </c>
      <c r="E9" s="160">
        <f>L9/M9*D9</f>
        <v>30217</v>
      </c>
      <c r="F9" s="160">
        <v>0</v>
      </c>
      <c r="G9" s="160">
        <f t="shared" ref="F9:I13" si="0">F9*1.03</f>
        <v>0</v>
      </c>
      <c r="H9" s="160">
        <f t="shared" si="0"/>
        <v>0</v>
      </c>
      <c r="I9" s="160">
        <f t="shared" si="0"/>
        <v>0</v>
      </c>
      <c r="J9" s="261">
        <f>SUM(E9:I9)</f>
        <v>30217</v>
      </c>
      <c r="K9" s="111"/>
      <c r="L9" s="133">
        <v>135976</v>
      </c>
      <c r="M9" s="133">
        <v>9</v>
      </c>
      <c r="N9" s="255"/>
    </row>
    <row r="10" spans="1:15" x14ac:dyDescent="0.3">
      <c r="A10" s="270"/>
      <c r="B10" s="252"/>
      <c r="C10" s="252"/>
      <c r="D10" s="122"/>
      <c r="E10" s="160">
        <v>0</v>
      </c>
      <c r="F10" s="160">
        <f t="shared" si="0"/>
        <v>0</v>
      </c>
      <c r="G10" s="160">
        <f t="shared" si="0"/>
        <v>0</v>
      </c>
      <c r="H10" s="160">
        <f t="shared" si="0"/>
        <v>0</v>
      </c>
      <c r="I10" s="160">
        <f t="shared" si="0"/>
        <v>0</v>
      </c>
      <c r="J10" s="258">
        <f>SUM(E10:I10)</f>
        <v>0</v>
      </c>
      <c r="K10" s="111"/>
      <c r="L10" s="133"/>
      <c r="M10" s="133">
        <v>9</v>
      </c>
      <c r="N10" s="255"/>
    </row>
    <row r="11" spans="1:15" x14ac:dyDescent="0.3">
      <c r="A11" s="159" t="s">
        <v>118</v>
      </c>
      <c r="B11" s="252"/>
      <c r="C11" s="252"/>
      <c r="D11" s="122"/>
      <c r="E11" s="160">
        <f>(L11/M11)*D11</f>
        <v>0</v>
      </c>
      <c r="F11" s="160">
        <f t="shared" si="0"/>
        <v>0</v>
      </c>
      <c r="G11" s="160">
        <f t="shared" si="0"/>
        <v>0</v>
      </c>
      <c r="H11" s="160">
        <f t="shared" si="0"/>
        <v>0</v>
      </c>
      <c r="I11" s="160">
        <f t="shared" si="0"/>
        <v>0</v>
      </c>
      <c r="J11" s="258">
        <f>SUM(E11:I11)</f>
        <v>0</v>
      </c>
      <c r="K11" s="111"/>
      <c r="L11" s="133"/>
      <c r="M11" s="133">
        <v>9</v>
      </c>
      <c r="N11" s="255"/>
    </row>
    <row r="12" spans="1:15" x14ac:dyDescent="0.3">
      <c r="A12" s="159" t="s">
        <v>118</v>
      </c>
      <c r="B12" s="252"/>
      <c r="C12" s="252"/>
      <c r="D12" s="122"/>
      <c r="E12" s="160">
        <f>(L12/M12)*D12</f>
        <v>0</v>
      </c>
      <c r="F12" s="160">
        <f t="shared" si="0"/>
        <v>0</v>
      </c>
      <c r="G12" s="160">
        <f t="shared" si="0"/>
        <v>0</v>
      </c>
      <c r="H12" s="160">
        <f t="shared" si="0"/>
        <v>0</v>
      </c>
      <c r="I12" s="160">
        <f t="shared" si="0"/>
        <v>0</v>
      </c>
      <c r="J12" s="258">
        <f>SUM(E12:I12)</f>
        <v>0</v>
      </c>
      <c r="K12" s="111"/>
      <c r="L12" s="133"/>
      <c r="M12" s="133">
        <v>9</v>
      </c>
      <c r="N12" s="255"/>
    </row>
    <row r="13" spans="1:15" x14ac:dyDescent="0.3">
      <c r="A13" s="159" t="s">
        <v>118</v>
      </c>
      <c r="B13" s="252"/>
      <c r="C13" s="252"/>
      <c r="D13" s="122"/>
      <c r="E13" s="160">
        <f>(L13/M13)*D13</f>
        <v>0</v>
      </c>
      <c r="F13" s="160">
        <f t="shared" si="0"/>
        <v>0</v>
      </c>
      <c r="G13" s="160">
        <f t="shared" si="0"/>
        <v>0</v>
      </c>
      <c r="H13" s="160">
        <f t="shared" si="0"/>
        <v>0</v>
      </c>
      <c r="I13" s="160">
        <f t="shared" si="0"/>
        <v>0</v>
      </c>
      <c r="J13" s="258">
        <f>SUM(E13:I13)</f>
        <v>0</v>
      </c>
      <c r="K13" s="111"/>
      <c r="L13" s="133"/>
      <c r="M13" s="133">
        <v>9</v>
      </c>
      <c r="N13" s="255"/>
    </row>
    <row r="14" spans="1:15" x14ac:dyDescent="0.3">
      <c r="A14" s="161"/>
      <c r="B14" s="162"/>
      <c r="C14" s="162"/>
      <c r="D14" s="162"/>
      <c r="E14" s="163"/>
      <c r="F14" s="160"/>
      <c r="G14" s="160"/>
      <c r="H14" s="160"/>
      <c r="I14" s="164"/>
      <c r="J14" s="258"/>
      <c r="K14" s="111"/>
      <c r="L14" s="111"/>
      <c r="M14" s="111"/>
      <c r="N14" s="5"/>
      <c r="O14" s="5"/>
    </row>
    <row r="15" spans="1:15" s="5" customFormat="1" x14ac:dyDescent="0.3">
      <c r="A15" s="17" t="s">
        <v>21</v>
      </c>
      <c r="B15" s="145"/>
      <c r="C15" s="145"/>
      <c r="D15" s="160"/>
      <c r="E15" s="160">
        <f>SUM(E9:E13)</f>
        <v>30217</v>
      </c>
      <c r="F15" s="54">
        <f>SUM(F9:F13)</f>
        <v>0</v>
      </c>
      <c r="G15" s="54">
        <f>SUM(G9:G13)</f>
        <v>0</v>
      </c>
      <c r="H15" s="54">
        <f>SUM(H9:H13)</f>
        <v>0</v>
      </c>
      <c r="I15" s="54">
        <f>SUM(I9:I13)</f>
        <v>0</v>
      </c>
      <c r="J15" s="261">
        <f>SUM(E15:I15)</f>
        <v>30217</v>
      </c>
      <c r="K15" s="111"/>
      <c r="L15" s="313"/>
      <c r="M15" s="111"/>
      <c r="N15" s="3"/>
      <c r="O15" s="3"/>
    </row>
    <row r="16" spans="1:15" ht="7.5" customHeight="1" x14ac:dyDescent="0.3">
      <c r="A16" s="165"/>
      <c r="B16" s="166"/>
      <c r="C16" s="166"/>
      <c r="D16" s="160"/>
      <c r="E16" s="160"/>
      <c r="F16" s="160"/>
      <c r="G16" s="160"/>
      <c r="H16" s="160"/>
      <c r="I16" s="164"/>
      <c r="J16" s="258"/>
      <c r="K16" s="111"/>
      <c r="L16" s="111"/>
      <c r="M16" s="111"/>
    </row>
    <row r="17" spans="1:16" x14ac:dyDescent="0.3">
      <c r="A17" s="18" t="s">
        <v>22</v>
      </c>
      <c r="B17" s="304" t="s">
        <v>122</v>
      </c>
      <c r="C17" s="304"/>
      <c r="D17" s="93" t="s">
        <v>82</v>
      </c>
      <c r="E17" s="160"/>
      <c r="F17" s="160"/>
      <c r="G17" s="160"/>
      <c r="H17" s="160"/>
      <c r="I17" s="164"/>
      <c r="J17" s="258"/>
      <c r="K17" s="111"/>
      <c r="L17" s="111"/>
      <c r="M17" s="111"/>
    </row>
    <row r="18" spans="1:16" ht="13" customHeight="1" x14ac:dyDescent="0.3">
      <c r="A18" s="271" t="s">
        <v>143</v>
      </c>
      <c r="B18" s="285">
        <v>1585.15</v>
      </c>
      <c r="C18" s="286"/>
      <c r="D18" s="122">
        <v>26</v>
      </c>
      <c r="E18" s="160">
        <f>B18*D18</f>
        <v>41214</v>
      </c>
      <c r="F18" s="160">
        <v>0</v>
      </c>
      <c r="G18" s="160">
        <f t="shared" ref="G18:I19" si="1">F18*1.03</f>
        <v>0</v>
      </c>
      <c r="H18" s="160">
        <f t="shared" si="1"/>
        <v>0</v>
      </c>
      <c r="I18" s="160">
        <f t="shared" si="1"/>
        <v>0</v>
      </c>
      <c r="J18" s="258">
        <f>SUM(E18:I18)</f>
        <v>41214</v>
      </c>
      <c r="K18" s="111"/>
      <c r="L18" s="256" t="s">
        <v>135</v>
      </c>
      <c r="M18" s="144"/>
      <c r="N18" s="142"/>
      <c r="O18" s="142"/>
      <c r="P18" s="142"/>
    </row>
    <row r="19" spans="1:16" x14ac:dyDescent="0.3">
      <c r="A19" s="167" t="s">
        <v>132</v>
      </c>
      <c r="B19" s="285">
        <v>1585.15</v>
      </c>
      <c r="C19" s="286"/>
      <c r="D19" s="122"/>
      <c r="E19" s="160">
        <f>D19*B19</f>
        <v>0</v>
      </c>
      <c r="F19" s="160">
        <f>E19*1.03</f>
        <v>0</v>
      </c>
      <c r="G19" s="160">
        <f t="shared" si="1"/>
        <v>0</v>
      </c>
      <c r="H19" s="160">
        <f t="shared" si="1"/>
        <v>0</v>
      </c>
      <c r="I19" s="160">
        <f t="shared" si="1"/>
        <v>0</v>
      </c>
      <c r="J19" s="258">
        <f>SUM(E19:I19)</f>
        <v>0</v>
      </c>
      <c r="K19" s="111"/>
      <c r="L19" s="256" t="s">
        <v>135</v>
      </c>
      <c r="M19" s="143"/>
      <c r="N19" s="142"/>
      <c r="O19" s="142"/>
      <c r="P19" s="142"/>
    </row>
    <row r="20" spans="1:16" x14ac:dyDescent="0.3">
      <c r="A20" s="159"/>
      <c r="B20" s="168"/>
      <c r="C20" s="168"/>
      <c r="D20" s="166"/>
      <c r="E20" s="160"/>
      <c r="F20" s="160"/>
      <c r="G20" s="160"/>
      <c r="H20" s="160"/>
      <c r="I20" s="160"/>
      <c r="J20" s="258">
        <f>SUM(E20:I20)</f>
        <v>0</v>
      </c>
      <c r="K20" s="111"/>
      <c r="L20" s="111"/>
      <c r="M20" s="111"/>
    </row>
    <row r="21" spans="1:16" x14ac:dyDescent="0.3">
      <c r="A21" s="159"/>
      <c r="B21" s="304" t="s">
        <v>124</v>
      </c>
      <c r="C21" s="304"/>
      <c r="D21" s="254" t="s">
        <v>125</v>
      </c>
      <c r="E21" s="160"/>
      <c r="F21" s="160"/>
      <c r="G21" s="160"/>
      <c r="H21" s="160"/>
      <c r="I21" s="160"/>
      <c r="J21" s="258"/>
      <c r="K21" s="111"/>
      <c r="L21" s="111"/>
      <c r="M21" s="111"/>
    </row>
    <row r="22" spans="1:16" x14ac:dyDescent="0.3">
      <c r="A22" s="165" t="s">
        <v>131</v>
      </c>
      <c r="B22" s="285">
        <v>20</v>
      </c>
      <c r="C22" s="286"/>
      <c r="D22" s="122"/>
      <c r="E22" s="160">
        <f>D22*B22</f>
        <v>0</v>
      </c>
      <c r="F22" s="160">
        <f>E22*1.03</f>
        <v>0</v>
      </c>
      <c r="G22" s="160">
        <f t="shared" ref="G22:I22" si="2">F22*1.03</f>
        <v>0</v>
      </c>
      <c r="H22" s="160">
        <f t="shared" si="2"/>
        <v>0</v>
      </c>
      <c r="I22" s="160">
        <f t="shared" si="2"/>
        <v>0</v>
      </c>
      <c r="J22" s="258">
        <f>SUM(E22:I22)</f>
        <v>0</v>
      </c>
      <c r="K22" s="111"/>
      <c r="L22" s="111"/>
      <c r="M22" s="111"/>
    </row>
    <row r="23" spans="1:16" x14ac:dyDescent="0.3">
      <c r="A23" s="165" t="s">
        <v>123</v>
      </c>
      <c r="B23" s="285">
        <v>15</v>
      </c>
      <c r="C23" s="286"/>
      <c r="D23" s="122">
        <v>150</v>
      </c>
      <c r="E23" s="160">
        <f>D23*B23</f>
        <v>2250</v>
      </c>
      <c r="F23" s="160">
        <f t="shared" ref="F23:I23" si="3">E23*C23</f>
        <v>0</v>
      </c>
      <c r="G23" s="160">
        <f t="shared" si="3"/>
        <v>0</v>
      </c>
      <c r="H23" s="160">
        <f t="shared" si="3"/>
        <v>0</v>
      </c>
      <c r="I23" s="160">
        <f t="shared" si="3"/>
        <v>0</v>
      </c>
      <c r="J23" s="258">
        <f>SUM(E23:I23)</f>
        <v>2250</v>
      </c>
      <c r="K23" s="111"/>
      <c r="L23" s="111"/>
      <c r="M23" s="111"/>
    </row>
    <row r="24" spans="1:16" x14ac:dyDescent="0.3">
      <c r="A24" s="166"/>
      <c r="B24" s="305"/>
      <c r="C24" s="305"/>
      <c r="D24" s="305"/>
      <c r="E24" s="160"/>
      <c r="F24" s="160"/>
      <c r="G24" s="160"/>
      <c r="H24" s="160"/>
      <c r="I24" s="160"/>
      <c r="J24" s="258"/>
      <c r="K24" s="111"/>
      <c r="L24" s="111"/>
      <c r="M24" s="111"/>
    </row>
    <row r="25" spans="1:16" x14ac:dyDescent="0.3">
      <c r="A25" s="165"/>
      <c r="B25" s="304" t="s">
        <v>128</v>
      </c>
      <c r="C25" s="304"/>
      <c r="D25" s="93" t="s">
        <v>49</v>
      </c>
      <c r="E25" s="160"/>
      <c r="F25" s="160"/>
      <c r="G25" s="160"/>
      <c r="H25" s="160"/>
      <c r="I25" s="160"/>
      <c r="J25" s="258"/>
      <c r="K25" s="111"/>
      <c r="L25" s="111"/>
      <c r="M25" s="111"/>
    </row>
    <row r="26" spans="1:16" x14ac:dyDescent="0.3">
      <c r="A26" s="165" t="s">
        <v>129</v>
      </c>
      <c r="B26" s="285"/>
      <c r="C26" s="286"/>
      <c r="D26" s="122"/>
      <c r="E26" s="160">
        <f>(B26/12)*D26</f>
        <v>0</v>
      </c>
      <c r="F26" s="160">
        <f t="shared" ref="F26:I27" si="4">E26*1.03</f>
        <v>0</v>
      </c>
      <c r="G26" s="160">
        <f t="shared" si="4"/>
        <v>0</v>
      </c>
      <c r="H26" s="160">
        <f t="shared" si="4"/>
        <v>0</v>
      </c>
      <c r="I26" s="160">
        <f t="shared" si="4"/>
        <v>0</v>
      </c>
      <c r="J26" s="258">
        <f>SUM(E26:I26)</f>
        <v>0</v>
      </c>
      <c r="K26" s="111"/>
      <c r="L26" s="111"/>
      <c r="M26" s="111"/>
    </row>
    <row r="27" spans="1:16" ht="12" customHeight="1" x14ac:dyDescent="0.3">
      <c r="A27" s="165" t="s">
        <v>130</v>
      </c>
      <c r="B27" s="285"/>
      <c r="C27" s="286"/>
      <c r="D27" s="122"/>
      <c r="E27" s="160">
        <f>(B27/12)*D27</f>
        <v>0</v>
      </c>
      <c r="F27" s="160">
        <f t="shared" si="4"/>
        <v>0</v>
      </c>
      <c r="G27" s="160">
        <f t="shared" si="4"/>
        <v>0</v>
      </c>
      <c r="H27" s="160">
        <f t="shared" si="4"/>
        <v>0</v>
      </c>
      <c r="I27" s="160">
        <f t="shared" si="4"/>
        <v>0</v>
      </c>
      <c r="J27" s="258">
        <f>SUM(E27:I27)</f>
        <v>0</v>
      </c>
      <c r="K27" s="111"/>
      <c r="L27" s="111"/>
      <c r="M27" s="111"/>
    </row>
    <row r="28" spans="1:16" ht="13.5" customHeight="1" x14ac:dyDescent="0.3">
      <c r="A28" s="165"/>
      <c r="B28" s="166"/>
      <c r="C28" s="166"/>
      <c r="D28" s="166"/>
      <c r="E28" s="55"/>
      <c r="F28" s="55"/>
      <c r="G28" s="55"/>
      <c r="H28" s="55"/>
      <c r="I28" s="56"/>
      <c r="J28" s="258"/>
      <c r="K28" s="111"/>
      <c r="L28" s="111"/>
      <c r="M28" s="111"/>
      <c r="N28" s="7"/>
      <c r="O28" s="7"/>
    </row>
    <row r="29" spans="1:16" s="7" customFormat="1" ht="21" customHeight="1" x14ac:dyDescent="0.25">
      <c r="A29" s="287" t="s">
        <v>65</v>
      </c>
      <c r="B29" s="288"/>
      <c r="C29" s="288"/>
      <c r="D29" s="124">
        <v>0.26</v>
      </c>
      <c r="E29" s="57">
        <f>(SUM(E15,E26:E27))*D29</f>
        <v>7856</v>
      </c>
      <c r="F29" s="57">
        <f>(SUM(F15,F26:F27))*D29</f>
        <v>0</v>
      </c>
      <c r="G29" s="57">
        <f>(SUM(G15,G26:G27))*D29</f>
        <v>0</v>
      </c>
      <c r="H29" s="57">
        <f>(SUM(H15,H26:H27))*D29</f>
        <v>0</v>
      </c>
      <c r="I29" s="57">
        <f>(SUM(I15,I26:I27))*D29</f>
        <v>0</v>
      </c>
      <c r="J29" s="262">
        <f>SUM(E29:I29)</f>
        <v>7856</v>
      </c>
      <c r="K29" s="112"/>
      <c r="L29" s="112"/>
      <c r="M29" s="112"/>
      <c r="N29" s="3"/>
      <c r="O29" s="3"/>
    </row>
    <row r="30" spans="1:16" ht="7.5" customHeight="1" x14ac:dyDescent="0.3">
      <c r="A30" s="165"/>
      <c r="B30" s="166"/>
      <c r="C30" s="166"/>
      <c r="D30" s="166"/>
      <c r="E30" s="160"/>
      <c r="F30" s="160"/>
      <c r="G30" s="160"/>
      <c r="H30" s="160"/>
      <c r="I30" s="164"/>
      <c r="J30" s="258"/>
      <c r="K30" s="111"/>
      <c r="L30" s="111"/>
      <c r="M30" s="111"/>
      <c r="N30" s="1"/>
      <c r="O30" s="1"/>
    </row>
    <row r="31" spans="1:16" s="1" customFormat="1" x14ac:dyDescent="0.3">
      <c r="A31" s="19" t="s">
        <v>72</v>
      </c>
      <c r="B31" s="38"/>
      <c r="C31" s="38"/>
      <c r="D31" s="38"/>
      <c r="E31" s="58">
        <f>SUM(E15:E29)</f>
        <v>81537</v>
      </c>
      <c r="F31" s="58">
        <f>SUM(F15:F29)</f>
        <v>0</v>
      </c>
      <c r="G31" s="58">
        <f>SUM(G15:G29)</f>
        <v>0</v>
      </c>
      <c r="H31" s="58">
        <f>SUM(H15:H29)</f>
        <v>0</v>
      </c>
      <c r="I31" s="59">
        <f>SUM(I15:I29)</f>
        <v>0</v>
      </c>
      <c r="J31" s="263">
        <f>SUM(E31:I31)</f>
        <v>81537</v>
      </c>
      <c r="K31" s="111"/>
      <c r="L31" s="16"/>
      <c r="M31" s="16"/>
      <c r="N31" s="3"/>
      <c r="O31" s="3"/>
    </row>
    <row r="32" spans="1:16" x14ac:dyDescent="0.3">
      <c r="A32" s="169"/>
      <c r="B32" s="170"/>
      <c r="C32" s="170"/>
      <c r="D32" s="170"/>
      <c r="E32" s="171"/>
      <c r="F32" s="171"/>
      <c r="G32" s="171"/>
      <c r="H32" s="171"/>
      <c r="I32" s="171"/>
      <c r="J32" s="264"/>
      <c r="K32" s="111"/>
      <c r="L32" s="111"/>
      <c r="M32" s="111"/>
      <c r="N32" s="4"/>
      <c r="O32" s="4"/>
    </row>
    <row r="33" spans="1:15" s="4" customFormat="1" x14ac:dyDescent="0.3">
      <c r="A33" s="20" t="s">
        <v>41</v>
      </c>
      <c r="B33" s="79"/>
      <c r="C33" s="79"/>
      <c r="D33" s="79"/>
      <c r="E33" s="80"/>
      <c r="F33" s="80"/>
      <c r="G33" s="80"/>
      <c r="H33" s="80"/>
      <c r="I33" s="80"/>
      <c r="J33" s="265"/>
      <c r="K33" s="9"/>
      <c r="L33" s="9"/>
      <c r="M33" s="9"/>
      <c r="N33" s="3"/>
      <c r="O33" s="3"/>
    </row>
    <row r="34" spans="1:15" x14ac:dyDescent="0.3">
      <c r="A34" s="294" t="s">
        <v>144</v>
      </c>
      <c r="B34" s="295"/>
      <c r="C34" s="295"/>
      <c r="D34" s="295"/>
      <c r="E34" s="172">
        <v>10000</v>
      </c>
      <c r="F34" s="172">
        <v>0</v>
      </c>
      <c r="G34" s="172">
        <v>0</v>
      </c>
      <c r="H34" s="172">
        <v>0</v>
      </c>
      <c r="I34" s="172">
        <v>0</v>
      </c>
      <c r="J34" s="261">
        <f t="shared" ref="J34:J40" si="5">SUM(E34:I34)</f>
        <v>10000</v>
      </c>
      <c r="K34" s="111"/>
      <c r="L34" s="5" t="s">
        <v>136</v>
      </c>
      <c r="M34" s="3"/>
    </row>
    <row r="35" spans="1:15" x14ac:dyDescent="0.3">
      <c r="A35" s="296" t="s">
        <v>145</v>
      </c>
      <c r="B35" s="297"/>
      <c r="C35" s="297"/>
      <c r="D35" s="297"/>
      <c r="E35" s="172">
        <v>1500</v>
      </c>
      <c r="F35" s="172">
        <v>0</v>
      </c>
      <c r="G35" s="172">
        <v>0</v>
      </c>
      <c r="H35" s="172">
        <v>0</v>
      </c>
      <c r="I35" s="172">
        <v>0</v>
      </c>
      <c r="J35" s="258">
        <f t="shared" si="5"/>
        <v>1500</v>
      </c>
      <c r="K35" s="111"/>
      <c r="L35" s="16"/>
      <c r="M35" s="3"/>
    </row>
    <row r="36" spans="1:15" x14ac:dyDescent="0.3">
      <c r="A36" s="296" t="s">
        <v>146</v>
      </c>
      <c r="B36" s="297"/>
      <c r="C36" s="297"/>
      <c r="D36" s="297"/>
      <c r="E36" s="172">
        <v>6000</v>
      </c>
      <c r="F36" s="172">
        <v>0</v>
      </c>
      <c r="G36" s="172">
        <v>0</v>
      </c>
      <c r="H36" s="172">
        <v>0</v>
      </c>
      <c r="I36" s="172">
        <v>0</v>
      </c>
      <c r="J36" s="258">
        <f t="shared" si="5"/>
        <v>6000</v>
      </c>
      <c r="K36" s="111"/>
      <c r="L36" s="16"/>
      <c r="M36" s="3"/>
    </row>
    <row r="37" spans="1:15" x14ac:dyDescent="0.3">
      <c r="A37" s="308" t="s">
        <v>19</v>
      </c>
      <c r="B37" s="297"/>
      <c r="C37" s="297"/>
      <c r="D37" s="297"/>
      <c r="E37" s="172">
        <v>0</v>
      </c>
      <c r="F37" s="172">
        <v>0</v>
      </c>
      <c r="G37" s="172">
        <v>0</v>
      </c>
      <c r="H37" s="172">
        <v>0</v>
      </c>
      <c r="I37" s="172">
        <v>0</v>
      </c>
      <c r="J37" s="258">
        <f t="shared" si="5"/>
        <v>0</v>
      </c>
      <c r="K37" s="111"/>
      <c r="L37" s="111"/>
      <c r="M37" s="111"/>
    </row>
    <row r="38" spans="1:15" x14ac:dyDescent="0.3">
      <c r="A38" s="308" t="s">
        <v>24</v>
      </c>
      <c r="B38" s="297"/>
      <c r="C38" s="297"/>
      <c r="D38" s="297"/>
      <c r="E38" s="172">
        <v>0</v>
      </c>
      <c r="F38" s="172">
        <v>0</v>
      </c>
      <c r="G38" s="172">
        <v>0</v>
      </c>
      <c r="H38" s="172">
        <v>0</v>
      </c>
      <c r="I38" s="172">
        <v>0</v>
      </c>
      <c r="J38" s="258">
        <f t="shared" si="5"/>
        <v>0</v>
      </c>
      <c r="K38" s="111"/>
      <c r="L38" s="111"/>
      <c r="M38" s="111"/>
    </row>
    <row r="39" spans="1:15" x14ac:dyDescent="0.3">
      <c r="A39" s="309" t="s">
        <v>31</v>
      </c>
      <c r="B39" s="310"/>
      <c r="C39" s="310"/>
      <c r="D39" s="310"/>
      <c r="E39" s="172">
        <v>0</v>
      </c>
      <c r="F39" s="172">
        <v>0</v>
      </c>
      <c r="G39" s="172">
        <v>0</v>
      </c>
      <c r="H39" s="172">
        <v>0</v>
      </c>
      <c r="I39" s="172">
        <v>0</v>
      </c>
      <c r="J39" s="258">
        <f t="shared" si="5"/>
        <v>0</v>
      </c>
      <c r="K39" s="111"/>
      <c r="L39" s="111"/>
      <c r="M39" s="111"/>
      <c r="N39" s="1"/>
      <c r="O39" s="1"/>
    </row>
    <row r="40" spans="1:15" s="1" customFormat="1" x14ac:dyDescent="0.3">
      <c r="A40" s="21" t="s">
        <v>1</v>
      </c>
      <c r="B40" s="39"/>
      <c r="C40" s="39"/>
      <c r="D40" s="39"/>
      <c r="E40" s="62">
        <f>SUM(E34:E39)</f>
        <v>17500</v>
      </c>
      <c r="F40" s="62">
        <f>SUM(F34:F39)</f>
        <v>0</v>
      </c>
      <c r="G40" s="62">
        <f>SUM(G34:G39)</f>
        <v>0</v>
      </c>
      <c r="H40" s="62">
        <f>SUM(H34:H39)</f>
        <v>0</v>
      </c>
      <c r="I40" s="62">
        <f>SUM(I34:I39)</f>
        <v>0</v>
      </c>
      <c r="J40" s="263">
        <f t="shared" si="5"/>
        <v>17500</v>
      </c>
      <c r="K40" s="111"/>
      <c r="L40" s="111"/>
      <c r="M40" s="111"/>
      <c r="N40" s="3"/>
      <c r="O40" s="3"/>
    </row>
    <row r="41" spans="1:15" x14ac:dyDescent="0.3">
      <c r="A41" s="169"/>
      <c r="B41" s="170"/>
      <c r="C41" s="170"/>
      <c r="D41" s="170"/>
      <c r="E41" s="171"/>
      <c r="F41" s="171"/>
      <c r="G41" s="171"/>
      <c r="H41" s="171"/>
      <c r="I41" s="171"/>
      <c r="J41" s="75"/>
      <c r="K41" s="111"/>
      <c r="L41" s="111"/>
      <c r="M41" s="111"/>
    </row>
    <row r="42" spans="1:15" x14ac:dyDescent="0.3">
      <c r="A42" s="22" t="s">
        <v>2</v>
      </c>
      <c r="B42" s="146"/>
      <c r="C42" s="146"/>
      <c r="D42" s="173"/>
      <c r="E42" s="64"/>
      <c r="F42" s="64"/>
      <c r="G42" s="64"/>
      <c r="H42" s="64"/>
      <c r="I42" s="64"/>
      <c r="J42" s="66"/>
      <c r="K42" s="9"/>
      <c r="L42" s="9"/>
      <c r="M42" s="9"/>
    </row>
    <row r="43" spans="1:15" x14ac:dyDescent="0.3">
      <c r="A43" s="174" t="s">
        <v>13</v>
      </c>
      <c r="B43" s="175"/>
      <c r="C43" s="175"/>
      <c r="D43" s="175"/>
      <c r="E43" s="176">
        <v>2500</v>
      </c>
      <c r="F43" s="176">
        <v>0</v>
      </c>
      <c r="G43" s="176">
        <v>0</v>
      </c>
      <c r="H43" s="176">
        <v>0</v>
      </c>
      <c r="I43" s="176">
        <v>0</v>
      </c>
      <c r="J43" s="261">
        <f>SUM(E43:I43)</f>
        <v>2500</v>
      </c>
      <c r="K43" s="111"/>
      <c r="L43" s="111"/>
      <c r="M43" s="111"/>
    </row>
    <row r="44" spans="1:15" ht="15" customHeight="1" x14ac:dyDescent="0.3">
      <c r="A44" s="177" t="s">
        <v>14</v>
      </c>
      <c r="B44" s="173"/>
      <c r="C44" s="173"/>
      <c r="D44" s="173"/>
      <c r="E44" s="178">
        <v>0</v>
      </c>
      <c r="F44" s="178">
        <v>0</v>
      </c>
      <c r="G44" s="178">
        <v>0</v>
      </c>
      <c r="H44" s="178">
        <v>0</v>
      </c>
      <c r="I44" s="178">
        <v>0</v>
      </c>
      <c r="J44" s="258">
        <f>SUM(E44:I44)</f>
        <v>0</v>
      </c>
      <c r="K44" s="111"/>
      <c r="L44" s="111"/>
      <c r="M44" s="111"/>
    </row>
    <row r="45" spans="1:15" ht="7.5" customHeight="1" x14ac:dyDescent="0.3">
      <c r="A45" s="177"/>
      <c r="B45" s="173"/>
      <c r="C45" s="173"/>
      <c r="D45" s="173"/>
      <c r="E45" s="178"/>
      <c r="F45" s="178"/>
      <c r="G45" s="178"/>
      <c r="H45" s="178"/>
      <c r="I45" s="179"/>
      <c r="J45" s="258"/>
      <c r="K45" s="111"/>
      <c r="L45" s="111"/>
      <c r="M45" s="111"/>
      <c r="N45" s="1"/>
      <c r="O45" s="1"/>
    </row>
    <row r="46" spans="1:15" s="1" customFormat="1" x14ac:dyDescent="0.3">
      <c r="A46" s="23" t="s">
        <v>3</v>
      </c>
      <c r="B46" s="40"/>
      <c r="C46" s="40"/>
      <c r="D46" s="40"/>
      <c r="E46" s="65">
        <f>SUM(E43:E44)</f>
        <v>2500</v>
      </c>
      <c r="F46" s="65">
        <f>SUM(F43:F44)</f>
        <v>0</v>
      </c>
      <c r="G46" s="65">
        <f>SUM(G43:G44)</f>
        <v>0</v>
      </c>
      <c r="H46" s="65">
        <f>SUM(H43:H44)</f>
        <v>0</v>
      </c>
      <c r="I46" s="65">
        <f>SUM(I43:I44)</f>
        <v>0</v>
      </c>
      <c r="J46" s="263">
        <f>SUM(E46:I46)</f>
        <v>2500</v>
      </c>
      <c r="K46" s="111"/>
      <c r="L46" s="111"/>
      <c r="M46" s="111"/>
      <c r="N46" s="3"/>
      <c r="O46" s="3"/>
    </row>
    <row r="47" spans="1:15" x14ac:dyDescent="0.3">
      <c r="A47" s="169"/>
      <c r="B47" s="170"/>
      <c r="C47" s="170"/>
      <c r="D47" s="170"/>
      <c r="E47" s="66"/>
      <c r="F47" s="66"/>
      <c r="G47" s="66"/>
      <c r="H47" s="66"/>
      <c r="I47" s="66"/>
      <c r="J47" s="75"/>
      <c r="K47" s="111"/>
      <c r="L47" s="111"/>
      <c r="M47" s="111"/>
      <c r="N47" s="4"/>
      <c r="O47" s="4"/>
    </row>
    <row r="48" spans="1:15" s="4" customFormat="1" ht="15" customHeight="1" x14ac:dyDescent="0.3">
      <c r="A48" s="24" t="s">
        <v>97</v>
      </c>
      <c r="B48" s="25"/>
      <c r="C48" s="25"/>
      <c r="D48" s="25"/>
      <c r="E48" s="67"/>
      <c r="F48" s="67"/>
      <c r="G48" s="67"/>
      <c r="H48" s="67"/>
      <c r="I48" s="67"/>
      <c r="J48" s="66"/>
      <c r="K48" s="9"/>
      <c r="L48" s="9"/>
      <c r="M48" s="9"/>
      <c r="N48" s="3"/>
      <c r="O48" s="3"/>
    </row>
    <row r="49" spans="1:15" x14ac:dyDescent="0.3">
      <c r="A49" s="180" t="s">
        <v>66</v>
      </c>
      <c r="B49" s="181"/>
      <c r="C49" s="181"/>
      <c r="D49" s="182"/>
      <c r="E49" s="183">
        <v>0</v>
      </c>
      <c r="F49" s="183">
        <v>0</v>
      </c>
      <c r="G49" s="183">
        <v>0</v>
      </c>
      <c r="H49" s="183">
        <v>0</v>
      </c>
      <c r="I49" s="184">
        <v>0</v>
      </c>
      <c r="J49" s="266">
        <f>SUM(E49:I49)</f>
        <v>0</v>
      </c>
      <c r="K49" s="111"/>
      <c r="L49" s="113" t="s">
        <v>137</v>
      </c>
      <c r="M49" s="113"/>
    </row>
    <row r="50" spans="1:15" x14ac:dyDescent="0.3">
      <c r="A50" s="185" t="s">
        <v>67</v>
      </c>
      <c r="B50" s="186"/>
      <c r="C50" s="186"/>
      <c r="D50" s="187"/>
      <c r="E50" s="188">
        <v>0</v>
      </c>
      <c r="F50" s="188">
        <v>0</v>
      </c>
      <c r="G50" s="188">
        <v>0</v>
      </c>
      <c r="H50" s="188">
        <v>0</v>
      </c>
      <c r="I50" s="189">
        <v>0</v>
      </c>
      <c r="J50" s="264">
        <f>SUM(E50:I50)</f>
        <v>0</v>
      </c>
      <c r="K50" s="111"/>
      <c r="L50" s="113"/>
      <c r="M50" s="113"/>
    </row>
    <row r="51" spans="1:15" x14ac:dyDescent="0.3">
      <c r="A51" s="185" t="s">
        <v>68</v>
      </c>
      <c r="B51" s="186"/>
      <c r="C51" s="186"/>
      <c r="D51" s="187"/>
      <c r="E51" s="188">
        <v>0</v>
      </c>
      <c r="F51" s="188">
        <v>0</v>
      </c>
      <c r="G51" s="188">
        <v>0</v>
      </c>
      <c r="H51" s="188">
        <v>0</v>
      </c>
      <c r="I51" s="189">
        <v>0</v>
      </c>
      <c r="J51" s="264">
        <f>SUM(E51:I51)</f>
        <v>0</v>
      </c>
      <c r="K51" s="111"/>
      <c r="L51" s="113"/>
      <c r="M51" s="113"/>
    </row>
    <row r="52" spans="1:15" x14ac:dyDescent="0.3">
      <c r="A52" s="190" t="s">
        <v>69</v>
      </c>
      <c r="B52" s="191"/>
      <c r="C52" s="191"/>
      <c r="D52" s="192"/>
      <c r="E52" s="193">
        <v>0</v>
      </c>
      <c r="F52" s="193">
        <v>0</v>
      </c>
      <c r="G52" s="193">
        <v>0</v>
      </c>
      <c r="H52" s="193">
        <v>0</v>
      </c>
      <c r="I52" s="194">
        <v>0</v>
      </c>
      <c r="J52" s="264">
        <f>SUM(E52:I52)</f>
        <v>0</v>
      </c>
      <c r="K52" s="111"/>
      <c r="L52" s="111"/>
      <c r="M52" s="111"/>
      <c r="N52" s="1"/>
      <c r="O52" s="1"/>
    </row>
    <row r="53" spans="1:15" s="1" customFormat="1" ht="13.5" customHeight="1" x14ac:dyDescent="0.3">
      <c r="A53" s="26" t="s">
        <v>18</v>
      </c>
      <c r="B53" s="41"/>
      <c r="C53" s="41"/>
      <c r="D53" s="41"/>
      <c r="E53" s="69">
        <f>SUM(E49:E52)</f>
        <v>0</v>
      </c>
      <c r="F53" s="69">
        <f>SUM(F49:F52)</f>
        <v>0</v>
      </c>
      <c r="G53" s="69">
        <f>SUM(G49:G52)</f>
        <v>0</v>
      </c>
      <c r="H53" s="69">
        <f>SUM(H49:H52)</f>
        <v>0</v>
      </c>
      <c r="I53" s="69">
        <f>SUM(I49:I52)</f>
        <v>0</v>
      </c>
      <c r="J53" s="263">
        <f>SUM(E53:I53)</f>
        <v>0</v>
      </c>
      <c r="K53" s="111"/>
      <c r="L53" s="111"/>
      <c r="M53" s="111"/>
      <c r="N53" s="3"/>
      <c r="O53" s="3"/>
    </row>
    <row r="54" spans="1:15" x14ac:dyDescent="0.3">
      <c r="A54" s="169"/>
      <c r="B54" s="170"/>
      <c r="C54" s="170"/>
      <c r="D54" s="170"/>
      <c r="E54" s="66"/>
      <c r="F54" s="66"/>
      <c r="G54" s="66"/>
      <c r="H54" s="66"/>
      <c r="I54" s="66"/>
      <c r="J54" s="63"/>
      <c r="K54" s="111"/>
      <c r="L54" s="111"/>
      <c r="M54" s="111"/>
      <c r="N54" s="4"/>
      <c r="O54" s="4"/>
    </row>
    <row r="55" spans="1:15" s="4" customFormat="1" x14ac:dyDescent="0.3">
      <c r="A55" s="27" t="s">
        <v>4</v>
      </c>
      <c r="B55" s="28"/>
      <c r="C55" s="28"/>
      <c r="D55" s="28"/>
      <c r="E55" s="70"/>
      <c r="F55" s="70"/>
      <c r="G55" s="70"/>
      <c r="H55" s="70"/>
      <c r="I55" s="70"/>
      <c r="J55" s="68"/>
      <c r="K55" s="9"/>
      <c r="L55" s="9"/>
      <c r="M55" s="9"/>
      <c r="N55" s="3"/>
      <c r="O55" s="3"/>
    </row>
    <row r="56" spans="1:15" x14ac:dyDescent="0.3">
      <c r="A56" s="195" t="s">
        <v>6</v>
      </c>
      <c r="B56" s="196"/>
      <c r="C56" s="196"/>
      <c r="D56" s="196"/>
      <c r="E56" s="197">
        <v>5000</v>
      </c>
      <c r="F56" s="197">
        <v>0</v>
      </c>
      <c r="G56" s="197">
        <v>0</v>
      </c>
      <c r="H56" s="197">
        <v>0</v>
      </c>
      <c r="I56" s="198">
        <v>0</v>
      </c>
      <c r="J56" s="258">
        <f>SUM(E56:I56)</f>
        <v>5000</v>
      </c>
      <c r="K56" s="111"/>
      <c r="L56" s="111"/>
      <c r="M56" s="111"/>
    </row>
    <row r="57" spans="1:15" x14ac:dyDescent="0.3">
      <c r="A57" s="29" t="s">
        <v>7</v>
      </c>
      <c r="B57" s="147"/>
      <c r="C57" s="147"/>
      <c r="D57" s="147"/>
      <c r="E57" s="199">
        <v>0</v>
      </c>
      <c r="F57" s="199">
        <v>0</v>
      </c>
      <c r="G57" s="199">
        <v>0</v>
      </c>
      <c r="H57" s="199">
        <v>0</v>
      </c>
      <c r="I57" s="200">
        <v>0</v>
      </c>
      <c r="J57" s="258">
        <f>SUM(E57:I57)</f>
        <v>0</v>
      </c>
      <c r="K57" s="111"/>
      <c r="L57" s="111"/>
      <c r="M57" s="111"/>
    </row>
    <row r="58" spans="1:15" x14ac:dyDescent="0.3">
      <c r="A58" s="29" t="s">
        <v>139</v>
      </c>
      <c r="B58" s="147"/>
      <c r="C58" s="147"/>
      <c r="D58" s="147"/>
      <c r="E58" s="199">
        <v>0</v>
      </c>
      <c r="F58" s="199">
        <v>0</v>
      </c>
      <c r="G58" s="199">
        <v>0</v>
      </c>
      <c r="H58" s="199">
        <v>0</v>
      </c>
      <c r="I58" s="200">
        <v>0</v>
      </c>
      <c r="J58" s="258">
        <f>SUM(E58:I58)</f>
        <v>0</v>
      </c>
      <c r="K58" s="111"/>
      <c r="L58" s="111"/>
      <c r="M58" s="111"/>
    </row>
    <row r="59" spans="1:15" x14ac:dyDescent="0.3">
      <c r="A59" s="29" t="s">
        <v>27</v>
      </c>
      <c r="B59" s="147"/>
      <c r="C59" s="147"/>
      <c r="D59" s="147"/>
      <c r="E59" s="199">
        <v>0</v>
      </c>
      <c r="F59" s="199">
        <v>0</v>
      </c>
      <c r="G59" s="199">
        <v>0</v>
      </c>
      <c r="H59" s="199">
        <v>0</v>
      </c>
      <c r="I59" s="200">
        <v>0</v>
      </c>
      <c r="J59" s="258">
        <f>SUM(E59:I59)</f>
        <v>0</v>
      </c>
      <c r="K59" s="111"/>
      <c r="L59" s="111"/>
      <c r="M59" s="111"/>
    </row>
    <row r="60" spans="1:15" x14ac:dyDescent="0.3">
      <c r="A60" s="27" t="s">
        <v>51</v>
      </c>
      <c r="B60" s="28"/>
      <c r="C60" s="28"/>
      <c r="D60" s="147"/>
      <c r="E60" s="201">
        <f>E62+E63+E64+E65</f>
        <v>50000</v>
      </c>
      <c r="F60" s="201">
        <f>F62+F63+F64+F65</f>
        <v>0</v>
      </c>
      <c r="G60" s="201">
        <f>G62+G63+G64+G65</f>
        <v>0</v>
      </c>
      <c r="H60" s="201">
        <f>H62+H63+H64+H65</f>
        <v>0</v>
      </c>
      <c r="I60" s="201">
        <f>I62+I63+I64+I65</f>
        <v>0</v>
      </c>
      <c r="J60" s="258">
        <f>SUM(E60:I60)</f>
        <v>50000</v>
      </c>
      <c r="K60" s="111"/>
      <c r="L60" s="111"/>
      <c r="M60" s="111"/>
    </row>
    <row r="61" spans="1:15" x14ac:dyDescent="0.3">
      <c r="A61" s="29"/>
      <c r="B61" s="147"/>
      <c r="C61" s="147"/>
      <c r="D61" s="147"/>
      <c r="E61" s="202" t="s">
        <v>8</v>
      </c>
      <c r="F61" s="202" t="s">
        <v>9</v>
      </c>
      <c r="G61" s="202" t="s">
        <v>10</v>
      </c>
      <c r="H61" s="202" t="s">
        <v>11</v>
      </c>
      <c r="I61" s="203" t="s">
        <v>12</v>
      </c>
      <c r="J61" s="259"/>
      <c r="K61" s="2"/>
      <c r="L61" s="2"/>
      <c r="M61" s="2"/>
    </row>
    <row r="62" spans="1:15" x14ac:dyDescent="0.3">
      <c r="A62" s="314" t="s">
        <v>147</v>
      </c>
      <c r="B62" s="314"/>
      <c r="C62" s="315" t="s">
        <v>148</v>
      </c>
      <c r="D62" s="316"/>
      <c r="E62" s="317">
        <v>50000</v>
      </c>
      <c r="F62" s="204">
        <v>0</v>
      </c>
      <c r="G62" s="204">
        <v>0</v>
      </c>
      <c r="H62" s="204">
        <v>0</v>
      </c>
      <c r="I62" s="204">
        <v>0</v>
      </c>
      <c r="J62" s="260">
        <f t="shared" ref="J62:J71" si="6">SUM(E62:I62)</f>
        <v>50000</v>
      </c>
      <c r="K62" s="2"/>
      <c r="L62" s="318" t="s">
        <v>149</v>
      </c>
      <c r="M62" s="77"/>
    </row>
    <row r="63" spans="1:15" x14ac:dyDescent="0.3">
      <c r="A63" s="311" t="s">
        <v>62</v>
      </c>
      <c r="B63" s="311"/>
      <c r="C63" s="289" t="s">
        <v>57</v>
      </c>
      <c r="D63" s="290"/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60">
        <f t="shared" si="6"/>
        <v>0</v>
      </c>
      <c r="K63" s="2"/>
      <c r="L63" s="2"/>
      <c r="M63" s="77"/>
    </row>
    <row r="64" spans="1:15" x14ac:dyDescent="0.3">
      <c r="A64" s="311" t="s">
        <v>63</v>
      </c>
      <c r="B64" s="311"/>
      <c r="C64" s="289" t="s">
        <v>58</v>
      </c>
      <c r="D64" s="290"/>
      <c r="E64" s="204">
        <v>0</v>
      </c>
      <c r="F64" s="205">
        <v>0</v>
      </c>
      <c r="G64" s="205">
        <v>0</v>
      </c>
      <c r="H64" s="205">
        <v>0</v>
      </c>
      <c r="I64" s="205">
        <v>0</v>
      </c>
      <c r="J64" s="259">
        <f t="shared" si="6"/>
        <v>0</v>
      </c>
      <c r="K64" s="2"/>
      <c r="L64" s="2"/>
      <c r="M64" s="77"/>
    </row>
    <row r="65" spans="1:16" x14ac:dyDescent="0.3">
      <c r="A65" s="311" t="s">
        <v>64</v>
      </c>
      <c r="B65" s="311"/>
      <c r="C65" s="289" t="s">
        <v>59</v>
      </c>
      <c r="D65" s="290"/>
      <c r="E65" s="204">
        <v>0</v>
      </c>
      <c r="F65" s="205">
        <v>0</v>
      </c>
      <c r="G65" s="205">
        <v>0</v>
      </c>
      <c r="H65" s="205">
        <v>0</v>
      </c>
      <c r="I65" s="205">
        <v>0</v>
      </c>
      <c r="J65" s="259">
        <f t="shared" si="6"/>
        <v>0</v>
      </c>
      <c r="K65" s="2"/>
      <c r="L65" s="2"/>
      <c r="M65" s="77"/>
    </row>
    <row r="66" spans="1:16" x14ac:dyDescent="0.3">
      <c r="A66" s="127" t="s">
        <v>30</v>
      </c>
      <c r="B66" s="148"/>
      <c r="C66" s="148"/>
      <c r="D66" s="196"/>
      <c r="E66" s="197">
        <f>SUM(E67:E71)</f>
        <v>13786</v>
      </c>
      <c r="F66" s="197">
        <f>SUM(F67:F71)</f>
        <v>0</v>
      </c>
      <c r="G66" s="197">
        <f>SUM(G67:G71)</f>
        <v>0</v>
      </c>
      <c r="H66" s="197">
        <f>SUM(H67:H71)</f>
        <v>0</v>
      </c>
      <c r="I66" s="197">
        <f>SUM(I67:I71)</f>
        <v>0</v>
      </c>
      <c r="J66" s="259">
        <f t="shared" si="6"/>
        <v>13786</v>
      </c>
      <c r="K66" s="2"/>
      <c r="L66" s="2"/>
      <c r="M66" s="2"/>
    </row>
    <row r="67" spans="1:16" x14ac:dyDescent="0.3">
      <c r="A67" s="291" t="s">
        <v>98</v>
      </c>
      <c r="B67" s="292"/>
      <c r="C67" s="292"/>
      <c r="D67" s="293"/>
      <c r="E67" s="206">
        <f>E99</f>
        <v>0</v>
      </c>
      <c r="F67" s="206">
        <f t="shared" ref="F67:I68" si="7">F99</f>
        <v>0</v>
      </c>
      <c r="G67" s="206">
        <f t="shared" si="7"/>
        <v>0</v>
      </c>
      <c r="H67" s="206">
        <f t="shared" si="7"/>
        <v>0</v>
      </c>
      <c r="I67" s="207">
        <f t="shared" si="7"/>
        <v>0</v>
      </c>
      <c r="J67" s="259">
        <f t="shared" si="6"/>
        <v>0</v>
      </c>
      <c r="K67" s="2"/>
      <c r="L67" s="2"/>
      <c r="M67" s="2"/>
    </row>
    <row r="68" spans="1:16" x14ac:dyDescent="0.3">
      <c r="A68" s="291" t="s">
        <v>99</v>
      </c>
      <c r="B68" s="292"/>
      <c r="C68" s="292"/>
      <c r="D68" s="293"/>
      <c r="E68" s="206">
        <f>E100</f>
        <v>11592</v>
      </c>
      <c r="F68" s="206">
        <f t="shared" si="7"/>
        <v>0</v>
      </c>
      <c r="G68" s="206">
        <f t="shared" si="7"/>
        <v>0</v>
      </c>
      <c r="H68" s="206">
        <f t="shared" si="7"/>
        <v>0</v>
      </c>
      <c r="I68" s="207">
        <f t="shared" si="7"/>
        <v>0</v>
      </c>
      <c r="J68" s="259">
        <f t="shared" si="6"/>
        <v>11592</v>
      </c>
      <c r="K68" s="2"/>
      <c r="L68" s="2"/>
      <c r="M68" s="2"/>
    </row>
    <row r="69" spans="1:16" x14ac:dyDescent="0.3">
      <c r="A69" s="291" t="s">
        <v>100</v>
      </c>
      <c r="B69" s="292"/>
      <c r="C69" s="292"/>
      <c r="D69" s="293"/>
      <c r="E69" s="206">
        <f>E104</f>
        <v>2194</v>
      </c>
      <c r="F69" s="206">
        <f>F104</f>
        <v>0</v>
      </c>
      <c r="G69" s="206">
        <f>G104</f>
        <v>0</v>
      </c>
      <c r="H69" s="206">
        <f>H104</f>
        <v>0</v>
      </c>
      <c r="I69" s="207">
        <f>I104</f>
        <v>0</v>
      </c>
      <c r="J69" s="259">
        <f t="shared" si="6"/>
        <v>2194</v>
      </c>
      <c r="K69" s="2"/>
      <c r="L69" s="2"/>
      <c r="M69" s="2"/>
    </row>
    <row r="70" spans="1:16" x14ac:dyDescent="0.3">
      <c r="A70" s="273" t="s">
        <v>71</v>
      </c>
      <c r="B70" s="274"/>
      <c r="C70" s="274"/>
      <c r="D70" s="275"/>
      <c r="E70" s="207">
        <v>0</v>
      </c>
      <c r="F70" s="207">
        <v>0</v>
      </c>
      <c r="G70" s="207">
        <v>0</v>
      </c>
      <c r="H70" s="207">
        <v>0</v>
      </c>
      <c r="I70" s="207">
        <v>0</v>
      </c>
      <c r="J70" s="259">
        <f t="shared" si="6"/>
        <v>0</v>
      </c>
      <c r="K70" s="2"/>
      <c r="L70" s="2"/>
      <c r="M70" s="2"/>
    </row>
    <row r="71" spans="1:16" x14ac:dyDescent="0.3">
      <c r="A71" s="273" t="s">
        <v>134</v>
      </c>
      <c r="B71" s="274"/>
      <c r="C71" s="274"/>
      <c r="D71" s="275"/>
      <c r="E71" s="207">
        <v>0</v>
      </c>
      <c r="F71" s="207">
        <v>0</v>
      </c>
      <c r="G71" s="207">
        <v>0</v>
      </c>
      <c r="H71" s="207">
        <v>0</v>
      </c>
      <c r="I71" s="207">
        <v>0</v>
      </c>
      <c r="J71" s="259">
        <f t="shared" si="6"/>
        <v>0</v>
      </c>
      <c r="K71" s="2"/>
      <c r="L71" s="2"/>
      <c r="M71" s="2"/>
    </row>
    <row r="72" spans="1:16" ht="12.75" customHeight="1" x14ac:dyDescent="0.3">
      <c r="A72" s="208"/>
      <c r="B72" s="147"/>
      <c r="C72" s="147"/>
      <c r="D72" s="147"/>
      <c r="E72" s="199"/>
      <c r="F72" s="199"/>
      <c r="G72" s="199"/>
      <c r="H72" s="199"/>
      <c r="I72" s="209"/>
      <c r="J72" s="53"/>
      <c r="K72" s="111"/>
      <c r="L72" s="111"/>
      <c r="M72" s="111"/>
      <c r="N72" s="1"/>
      <c r="O72" s="1"/>
    </row>
    <row r="73" spans="1:16" s="1" customFormat="1" x14ac:dyDescent="0.3">
      <c r="A73" s="30" t="s">
        <v>5</v>
      </c>
      <c r="B73" s="42"/>
      <c r="C73" s="42"/>
      <c r="D73" s="42"/>
      <c r="E73" s="72">
        <f>E66+E60+E59+E58+E57+E56</f>
        <v>68786</v>
      </c>
      <c r="F73" s="72">
        <f>F66+F60+F59+F58+F57+F56</f>
        <v>0</v>
      </c>
      <c r="G73" s="72">
        <f>G66+G60+G59+G58+G57+G56</f>
        <v>0</v>
      </c>
      <c r="H73" s="72">
        <f>H66+H60+H59+H58+H57+H56</f>
        <v>0</v>
      </c>
      <c r="I73" s="72">
        <f>I66+I60+I59+I58+I57+I56</f>
        <v>0</v>
      </c>
      <c r="J73" s="60">
        <f>SUM(E73:I73)</f>
        <v>68786</v>
      </c>
      <c r="K73" s="111"/>
      <c r="L73" s="111"/>
      <c r="M73" s="111"/>
      <c r="N73" s="3"/>
      <c r="O73" s="3"/>
    </row>
    <row r="74" spans="1:16" ht="4.5" customHeight="1" x14ac:dyDescent="0.3">
      <c r="A74" s="210"/>
      <c r="B74" s="211"/>
      <c r="C74" s="211"/>
      <c r="D74" s="211"/>
      <c r="E74" s="73"/>
      <c r="F74" s="73"/>
      <c r="G74" s="73"/>
      <c r="H74" s="73"/>
      <c r="I74" s="74"/>
      <c r="J74" s="60"/>
      <c r="K74" s="111"/>
      <c r="L74" s="111"/>
      <c r="M74" s="111"/>
      <c r="N74" s="4"/>
      <c r="O74" s="4"/>
    </row>
    <row r="75" spans="1:16" s="4" customFormat="1" x14ac:dyDescent="0.3">
      <c r="A75" s="31" t="s">
        <v>23</v>
      </c>
      <c r="B75" s="32"/>
      <c r="C75" s="32"/>
      <c r="D75" s="32"/>
      <c r="E75" s="75">
        <f>E31+E40+E46+E53+E73</f>
        <v>170323</v>
      </c>
      <c r="F75" s="75">
        <f>F31+F40+F46+F53+F73</f>
        <v>0</v>
      </c>
      <c r="G75" s="75">
        <f>G31+G40+G46+G53+G73</f>
        <v>0</v>
      </c>
      <c r="H75" s="75">
        <f>H31+H40+H46+H53+H73</f>
        <v>0</v>
      </c>
      <c r="I75" s="75">
        <f>I31+I40+I46+I53+I73</f>
        <v>0</v>
      </c>
      <c r="J75" s="53">
        <f>SUM(E75:I75)</f>
        <v>170323</v>
      </c>
      <c r="K75" s="111"/>
      <c r="L75" s="111"/>
      <c r="M75" s="111"/>
      <c r="N75" s="3"/>
      <c r="O75" s="3"/>
    </row>
    <row r="76" spans="1:16" ht="7.5" customHeight="1" x14ac:dyDescent="0.3">
      <c r="A76" s="169"/>
      <c r="B76" s="170"/>
      <c r="C76" s="170"/>
      <c r="D76" s="170"/>
      <c r="E76" s="171"/>
      <c r="F76" s="171"/>
      <c r="G76" s="171"/>
      <c r="H76" s="171"/>
      <c r="I76" s="212"/>
      <c r="J76" s="53"/>
      <c r="K76" s="111"/>
      <c r="L76" s="111"/>
      <c r="M76" s="111"/>
      <c r="N76" s="12"/>
      <c r="O76" s="12"/>
    </row>
    <row r="77" spans="1:16" s="107" customFormat="1" x14ac:dyDescent="0.3">
      <c r="A77" s="272" t="s">
        <v>15</v>
      </c>
      <c r="B77" s="170"/>
      <c r="C77" s="170"/>
      <c r="D77" s="170"/>
      <c r="E77" s="171">
        <f>(E75-E68-E67-E53-E40-E62+E112-E63+E114-E64+E116-E65+E118)</f>
        <v>116231</v>
      </c>
      <c r="F77" s="171">
        <f>(F75-F68-F67-F53-F40-F62+F112-F63+F114-F64+F116-F65+F118)</f>
        <v>0</v>
      </c>
      <c r="G77" s="171">
        <f>(G75-G68-G67-G53-G40-G62+G112-G63+G114-G64+G116-G65+G118)</f>
        <v>0</v>
      </c>
      <c r="H77" s="171">
        <f>(H75-H68-H67-H53-H40-H62+H112-H63+H114-H64+H116-H65+H118)</f>
        <v>0</v>
      </c>
      <c r="I77" s="171">
        <f>(I75-I68-I67-I53-I40-I62+I112-I63+I114-I64+I116-I65+I118)</f>
        <v>0</v>
      </c>
      <c r="J77" s="106">
        <f t="shared" ref="J77:J82" si="8">SUM(E77:I77)</f>
        <v>116231</v>
      </c>
      <c r="K77" s="113"/>
      <c r="L77" s="113"/>
      <c r="M77" s="113"/>
      <c r="N77" s="3"/>
      <c r="O77" s="3"/>
      <c r="P77" s="12"/>
    </row>
    <row r="78" spans="1:16" ht="7.5" customHeight="1" x14ac:dyDescent="0.3">
      <c r="A78" s="169"/>
      <c r="B78" s="170"/>
      <c r="C78" s="170"/>
      <c r="D78" s="170"/>
      <c r="E78" s="171"/>
      <c r="F78" s="171"/>
      <c r="G78" s="171"/>
      <c r="H78" s="171"/>
      <c r="I78" s="212"/>
      <c r="J78" s="53"/>
      <c r="K78" s="111"/>
      <c r="L78" s="111"/>
      <c r="M78" s="111"/>
      <c r="N78" s="4"/>
      <c r="O78" s="4"/>
    </row>
    <row r="79" spans="1:16" s="4" customFormat="1" x14ac:dyDescent="0.3">
      <c r="A79" s="33" t="s">
        <v>50</v>
      </c>
      <c r="B79" s="149"/>
      <c r="C79" s="149"/>
      <c r="D79" s="123">
        <v>0.55000000000000004</v>
      </c>
      <c r="E79" s="76">
        <f>E77*D79</f>
        <v>63927</v>
      </c>
      <c r="F79" s="76">
        <f>F77*D79</f>
        <v>0</v>
      </c>
      <c r="G79" s="76">
        <f>G77*D79</f>
        <v>0</v>
      </c>
      <c r="H79" s="76">
        <f>H77*D79</f>
        <v>0</v>
      </c>
      <c r="I79" s="76">
        <f>I77*D79</f>
        <v>0</v>
      </c>
      <c r="J79" s="53">
        <f t="shared" si="8"/>
        <v>63927</v>
      </c>
      <c r="K79" s="111"/>
      <c r="L79" s="111"/>
      <c r="M79" s="111"/>
      <c r="N79" s="11"/>
      <c r="O79" s="11"/>
    </row>
    <row r="80" spans="1:16" s="11" customFormat="1" ht="12" customHeight="1" x14ac:dyDescent="0.3">
      <c r="A80" s="213"/>
      <c r="B80" s="13"/>
      <c r="C80" s="13"/>
      <c r="D80" s="214" t="s">
        <v>74</v>
      </c>
      <c r="E80" s="2"/>
      <c r="F80" s="2"/>
      <c r="G80" s="2"/>
      <c r="H80" s="2"/>
      <c r="I80" s="71"/>
      <c r="J80" s="53"/>
      <c r="K80" s="111"/>
      <c r="L80" s="111"/>
      <c r="M80" s="111"/>
    </row>
    <row r="81" spans="1:15" s="11" customFormat="1" ht="7.5" customHeight="1" x14ac:dyDescent="0.3">
      <c r="A81" s="213"/>
      <c r="B81" s="13"/>
      <c r="C81" s="13"/>
      <c r="D81" s="13"/>
      <c r="E81" s="2"/>
      <c r="F81" s="2"/>
      <c r="G81" s="2"/>
      <c r="H81" s="2"/>
      <c r="I81" s="71"/>
      <c r="J81" s="53"/>
      <c r="K81" s="111"/>
      <c r="L81" s="111"/>
      <c r="M81" s="111"/>
      <c r="N81" s="4"/>
      <c r="O81" s="4"/>
    </row>
    <row r="82" spans="1:15" s="4" customFormat="1" ht="15.75" customHeight="1" thickBot="1" x14ac:dyDescent="0.55000000000000004">
      <c r="A82" s="34" t="s">
        <v>16</v>
      </c>
      <c r="B82" s="35"/>
      <c r="C82" s="35"/>
      <c r="D82" s="35"/>
      <c r="E82" s="78">
        <f>E75+E79</f>
        <v>234250</v>
      </c>
      <c r="F82" s="78">
        <f>F75+F79</f>
        <v>0</v>
      </c>
      <c r="G82" s="78">
        <f>G75+G79</f>
        <v>0</v>
      </c>
      <c r="H82" s="78">
        <f>H75+H79</f>
        <v>0</v>
      </c>
      <c r="I82" s="78">
        <f>I75+I79</f>
        <v>0</v>
      </c>
      <c r="J82" s="215">
        <f t="shared" si="8"/>
        <v>234250</v>
      </c>
      <c r="K82" s="216"/>
      <c r="L82" s="216"/>
      <c r="M82" s="114"/>
      <c r="N82" s="6"/>
      <c r="O82" s="3"/>
    </row>
    <row r="83" spans="1:15" ht="13.5" thickTop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30"/>
    </row>
    <row r="84" spans="1:15" x14ac:dyDescent="0.3">
      <c r="A84" s="1"/>
      <c r="B84" s="1"/>
      <c r="C84" s="1"/>
      <c r="D84" s="16"/>
      <c r="E84" s="4"/>
      <c r="F84" s="4"/>
      <c r="G84" s="4"/>
      <c r="H84" s="4"/>
      <c r="I84" s="4"/>
      <c r="J84" s="128"/>
    </row>
    <row r="85" spans="1:15" x14ac:dyDescent="0.3">
      <c r="A85" s="217"/>
      <c r="B85" s="217"/>
      <c r="C85" s="217"/>
      <c r="D85" s="16"/>
      <c r="E85" s="16"/>
      <c r="F85" s="16"/>
      <c r="G85" s="16"/>
      <c r="H85" s="16"/>
      <c r="I85" s="16"/>
      <c r="J85" s="129"/>
    </row>
    <row r="86" spans="1:15" ht="8.25" customHeight="1" thickBo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3"/>
      <c r="K86" s="13"/>
      <c r="L86" s="13"/>
      <c r="M86" s="13"/>
    </row>
    <row r="87" spans="1:15" ht="26.5" thickTop="1" x14ac:dyDescent="0.3">
      <c r="A87" s="50" t="s">
        <v>101</v>
      </c>
      <c r="B87" s="150"/>
      <c r="C87" s="150"/>
      <c r="D87" s="49" t="s">
        <v>33</v>
      </c>
      <c r="E87" s="104" t="s">
        <v>8</v>
      </c>
      <c r="F87" s="104" t="s">
        <v>9</v>
      </c>
      <c r="G87" s="104" t="s">
        <v>10</v>
      </c>
      <c r="H87" s="104" t="s">
        <v>11</v>
      </c>
      <c r="I87" s="104" t="s">
        <v>12</v>
      </c>
      <c r="J87" s="44"/>
      <c r="K87" s="115"/>
      <c r="L87" s="115"/>
      <c r="M87" s="115"/>
    </row>
    <row r="88" spans="1:15" x14ac:dyDescent="0.3">
      <c r="A88" s="46"/>
      <c r="B88" s="151"/>
      <c r="C88" s="151"/>
      <c r="D88" s="151"/>
      <c r="E88" s="218"/>
      <c r="F88" s="218"/>
      <c r="G88" s="218"/>
      <c r="H88" s="218"/>
      <c r="I88" s="218"/>
      <c r="J88" s="45"/>
      <c r="K88" s="116"/>
      <c r="L88" s="116"/>
      <c r="M88" s="116"/>
    </row>
    <row r="89" spans="1:15" x14ac:dyDescent="0.3">
      <c r="A89" s="46" t="s">
        <v>46</v>
      </c>
      <c r="B89" s="151"/>
      <c r="C89" s="151"/>
      <c r="D89" s="151"/>
      <c r="E89" s="218">
        <v>0</v>
      </c>
      <c r="F89" s="218">
        <v>0</v>
      </c>
      <c r="G89" s="218">
        <v>0</v>
      </c>
      <c r="H89" s="218">
        <v>0</v>
      </c>
      <c r="I89" s="218">
        <v>0</v>
      </c>
      <c r="J89" s="45"/>
      <c r="K89" s="116"/>
      <c r="L89" s="116"/>
      <c r="M89" s="116"/>
    </row>
    <row r="90" spans="1:15" hidden="1" x14ac:dyDescent="0.3">
      <c r="A90" s="46"/>
      <c r="B90" s="151"/>
      <c r="C90" s="151"/>
      <c r="D90" s="151"/>
      <c r="E90" s="219">
        <f>ROUNDUP(E89,0)</f>
        <v>0</v>
      </c>
      <c r="F90" s="219">
        <f>ROUNDUP(F89,0)</f>
        <v>0</v>
      </c>
      <c r="G90" s="219">
        <f>ROUNDUP(G89,0)</f>
        <v>0</v>
      </c>
      <c r="H90" s="219">
        <f>ROUNDUP(H89,0)</f>
        <v>0</v>
      </c>
      <c r="I90" s="219">
        <f>ROUNDUP(I89,0)</f>
        <v>0</v>
      </c>
      <c r="J90" s="45"/>
      <c r="K90" s="116"/>
      <c r="L90" s="116"/>
      <c r="M90" s="116"/>
    </row>
    <row r="91" spans="1:15" x14ac:dyDescent="0.3">
      <c r="A91" s="46" t="s">
        <v>45</v>
      </c>
      <c r="B91" s="151"/>
      <c r="C91" s="151"/>
      <c r="D91" s="151"/>
      <c r="E91" s="218">
        <v>1</v>
      </c>
      <c r="F91" s="218">
        <v>0</v>
      </c>
      <c r="G91" s="218">
        <v>0</v>
      </c>
      <c r="H91" s="218">
        <v>0</v>
      </c>
      <c r="I91" s="218">
        <v>0</v>
      </c>
      <c r="J91" s="45"/>
      <c r="K91" s="116"/>
      <c r="L91" s="116"/>
      <c r="M91" s="116"/>
    </row>
    <row r="92" spans="1:15" hidden="1" x14ac:dyDescent="0.3">
      <c r="A92" s="46"/>
      <c r="B92" s="151"/>
      <c r="C92" s="151"/>
      <c r="D92" s="151"/>
      <c r="E92" s="219">
        <f>ROUNDUP(E91,0)</f>
        <v>1</v>
      </c>
      <c r="F92" s="219">
        <f>ROUNDUP(F91,0)</f>
        <v>0</v>
      </c>
      <c r="G92" s="219">
        <f>ROUNDUP(G91,0)</f>
        <v>0</v>
      </c>
      <c r="H92" s="219">
        <f>ROUNDUP(H91,0)</f>
        <v>0</v>
      </c>
      <c r="I92" s="219">
        <f>ROUNDUP(I91,0)</f>
        <v>0</v>
      </c>
      <c r="J92" s="45"/>
      <c r="K92" s="116"/>
      <c r="L92" s="116"/>
      <c r="M92" s="116"/>
    </row>
    <row r="93" spans="1:15" x14ac:dyDescent="0.3">
      <c r="A93" s="46" t="s">
        <v>47</v>
      </c>
      <c r="B93" s="151"/>
      <c r="C93" s="151"/>
      <c r="D93" s="151"/>
      <c r="E93" s="218">
        <v>0</v>
      </c>
      <c r="F93" s="218">
        <v>0</v>
      </c>
      <c r="G93" s="218">
        <v>0</v>
      </c>
      <c r="H93" s="218">
        <v>0</v>
      </c>
      <c r="I93" s="218">
        <v>0</v>
      </c>
      <c r="J93" s="45"/>
      <c r="K93" s="116"/>
      <c r="L93" s="116"/>
      <c r="M93" s="116"/>
    </row>
    <row r="94" spans="1:15" x14ac:dyDescent="0.3">
      <c r="A94" s="46" t="s">
        <v>48</v>
      </c>
      <c r="B94" s="151"/>
      <c r="C94" s="151"/>
      <c r="D94" s="151"/>
      <c r="E94" s="218">
        <v>18</v>
      </c>
      <c r="F94" s="218">
        <v>0</v>
      </c>
      <c r="G94" s="218">
        <v>0</v>
      </c>
      <c r="H94" s="218">
        <v>0</v>
      </c>
      <c r="I94" s="218">
        <v>0</v>
      </c>
      <c r="J94" s="45"/>
      <c r="K94" s="116"/>
      <c r="L94" s="116"/>
      <c r="M94" s="116"/>
    </row>
    <row r="95" spans="1:15" x14ac:dyDescent="0.3">
      <c r="A95" s="46" t="s">
        <v>26</v>
      </c>
      <c r="B95" s="151"/>
      <c r="C95" s="151"/>
      <c r="D95" s="220"/>
      <c r="E95" s="221" t="s">
        <v>52</v>
      </c>
      <c r="F95" s="221" t="s">
        <v>54</v>
      </c>
      <c r="G95" s="221" t="s">
        <v>55</v>
      </c>
      <c r="H95" s="221" t="s">
        <v>81</v>
      </c>
      <c r="I95" s="221" t="s">
        <v>88</v>
      </c>
      <c r="J95" s="45"/>
      <c r="K95" s="116"/>
      <c r="L95" s="116"/>
      <c r="M95" s="117"/>
    </row>
    <row r="96" spans="1:15" x14ac:dyDescent="0.3">
      <c r="A96" s="46" t="s">
        <v>42</v>
      </c>
      <c r="B96" s="151"/>
      <c r="C96" s="151"/>
      <c r="D96" s="222"/>
      <c r="E96" s="223">
        <f>E108*0.4</f>
        <v>644</v>
      </c>
      <c r="F96" s="223">
        <f>F108*0.4</f>
        <v>644</v>
      </c>
      <c r="G96" s="223">
        <f>G108*0.4</f>
        <v>644</v>
      </c>
      <c r="H96" s="223">
        <f>H108*0.4</f>
        <v>644</v>
      </c>
      <c r="I96" s="223">
        <f>I108*0.4</f>
        <v>644</v>
      </c>
      <c r="J96" s="51" t="s">
        <v>25</v>
      </c>
      <c r="K96" s="118"/>
      <c r="L96" s="118"/>
      <c r="M96" s="118"/>
    </row>
    <row r="97" spans="1:13" x14ac:dyDescent="0.3">
      <c r="A97" s="46" t="s">
        <v>0</v>
      </c>
      <c r="B97" s="151"/>
      <c r="C97" s="151"/>
      <c r="D97" s="222"/>
      <c r="E97" s="223">
        <f>E108*0.4</f>
        <v>644</v>
      </c>
      <c r="F97" s="223">
        <f>F108*0.4</f>
        <v>644</v>
      </c>
      <c r="G97" s="223">
        <f>G108*0.4</f>
        <v>644</v>
      </c>
      <c r="H97" s="223">
        <f>H108*0.4</f>
        <v>644</v>
      </c>
      <c r="I97" s="223">
        <f>I108*0.4</f>
        <v>644</v>
      </c>
      <c r="J97" s="51"/>
      <c r="K97" s="118"/>
      <c r="L97" s="118"/>
      <c r="M97" s="118"/>
    </row>
    <row r="98" spans="1:13" x14ac:dyDescent="0.3">
      <c r="A98" s="46"/>
      <c r="B98" s="151"/>
      <c r="C98" s="151"/>
      <c r="D98" s="151"/>
      <c r="E98" s="218"/>
      <c r="F98" s="218"/>
      <c r="G98" s="218"/>
      <c r="H98" s="218"/>
      <c r="I98" s="218"/>
      <c r="J98" s="45"/>
      <c r="K98" s="116"/>
      <c r="L98" s="116"/>
      <c r="M98" s="116"/>
    </row>
    <row r="99" spans="1:13" x14ac:dyDescent="0.3">
      <c r="A99" s="48" t="s">
        <v>43</v>
      </c>
      <c r="B99" s="116"/>
      <c r="C99" s="116"/>
      <c r="D99" s="151"/>
      <c r="E99" s="224">
        <f>E89*E93*E96</f>
        <v>0</v>
      </c>
      <c r="F99" s="224">
        <f>F89*F93*F96</f>
        <v>0</v>
      </c>
      <c r="G99" s="224">
        <f>G89*G93*G96</f>
        <v>0</v>
      </c>
      <c r="H99" s="224">
        <f>H89*H93*H96</f>
        <v>0</v>
      </c>
      <c r="I99" s="224">
        <f>I89*I93*I96</f>
        <v>0</v>
      </c>
      <c r="J99" s="47">
        <f>SUM(E99:I99)</f>
        <v>0</v>
      </c>
      <c r="K99" s="119"/>
      <c r="L99" s="119"/>
      <c r="M99" s="119"/>
    </row>
    <row r="100" spans="1:13" x14ac:dyDescent="0.3">
      <c r="A100" s="48" t="s">
        <v>44</v>
      </c>
      <c r="B100" s="116"/>
      <c r="C100" s="116"/>
      <c r="D100" s="151"/>
      <c r="E100" s="225">
        <f>E91*E94*E97</f>
        <v>11592</v>
      </c>
      <c r="F100" s="225">
        <f>F91*F94*F97</f>
        <v>0</v>
      </c>
      <c r="G100" s="225">
        <f>G91*G94*G97</f>
        <v>0</v>
      </c>
      <c r="H100" s="225">
        <f>H91*H94*H97</f>
        <v>0</v>
      </c>
      <c r="I100" s="225">
        <f>I91*I94*I97</f>
        <v>0</v>
      </c>
      <c r="J100" s="47">
        <f>SUM(E100:I100)</f>
        <v>11592</v>
      </c>
      <c r="K100" s="119"/>
      <c r="L100" s="119"/>
      <c r="M100" s="119"/>
    </row>
    <row r="101" spans="1:13" x14ac:dyDescent="0.3">
      <c r="A101" s="95"/>
      <c r="B101" s="152"/>
      <c r="C101" s="152"/>
      <c r="D101" s="226"/>
      <c r="E101" s="221" t="s">
        <v>52</v>
      </c>
      <c r="F101" s="221" t="s">
        <v>54</v>
      </c>
      <c r="G101" s="221" t="s">
        <v>55</v>
      </c>
      <c r="H101" s="221" t="s">
        <v>81</v>
      </c>
      <c r="I101" s="221" t="s">
        <v>88</v>
      </c>
      <c r="J101" s="96" t="s">
        <v>25</v>
      </c>
      <c r="K101" s="118"/>
      <c r="L101" s="118"/>
      <c r="M101" s="118"/>
    </row>
    <row r="102" spans="1:13" x14ac:dyDescent="0.3">
      <c r="A102" s="48" t="s">
        <v>40</v>
      </c>
      <c r="B102" s="116"/>
      <c r="C102" s="116"/>
      <c r="D102" s="151"/>
      <c r="E102" s="225">
        <v>2194</v>
      </c>
      <c r="F102" s="225">
        <v>2194</v>
      </c>
      <c r="G102" s="225">
        <v>2194</v>
      </c>
      <c r="H102" s="225">
        <v>2194</v>
      </c>
      <c r="I102" s="225">
        <v>2194</v>
      </c>
      <c r="J102" s="47"/>
      <c r="K102" s="119"/>
      <c r="L102" s="119"/>
      <c r="M102" s="119"/>
    </row>
    <row r="103" spans="1:13" x14ac:dyDescent="0.3">
      <c r="A103" s="48"/>
      <c r="B103" s="116"/>
      <c r="C103" s="116"/>
      <c r="D103" s="151"/>
      <c r="E103" s="225"/>
      <c r="F103" s="225"/>
      <c r="G103" s="225"/>
      <c r="H103" s="225"/>
      <c r="I103" s="225"/>
      <c r="J103" s="47"/>
      <c r="K103" s="119"/>
      <c r="L103" s="119"/>
      <c r="M103" s="119"/>
    </row>
    <row r="104" spans="1:13" ht="13.5" thickBot="1" x14ac:dyDescent="0.35">
      <c r="A104" s="227"/>
      <c r="B104" s="228"/>
      <c r="C104" s="228"/>
      <c r="D104" s="229"/>
      <c r="E104" s="105">
        <f>E90*E102+E92*E102</f>
        <v>2194</v>
      </c>
      <c r="F104" s="105">
        <f>F90*F102+F92*F102</f>
        <v>0</v>
      </c>
      <c r="G104" s="105">
        <f>G90*G102+G92*G102</f>
        <v>0</v>
      </c>
      <c r="H104" s="105">
        <f>H90*H102+H92*H102</f>
        <v>0</v>
      </c>
      <c r="I104" s="105">
        <f>I90*I102+I92*I102</f>
        <v>0</v>
      </c>
      <c r="J104" s="94">
        <f>SUM(E104:I104)</f>
        <v>2194</v>
      </c>
      <c r="K104" s="119"/>
      <c r="L104" s="119"/>
      <c r="M104" s="119"/>
    </row>
    <row r="105" spans="1:13" ht="13.5" thickTop="1" x14ac:dyDescent="0.3">
      <c r="A105" s="230"/>
      <c r="B105" s="231"/>
      <c r="C105" s="231"/>
      <c r="D105" s="232"/>
      <c r="E105" s="98" t="s">
        <v>8</v>
      </c>
      <c r="F105" s="98" t="s">
        <v>9</v>
      </c>
      <c r="G105" s="98" t="s">
        <v>10</v>
      </c>
      <c r="H105" s="98" t="s">
        <v>11</v>
      </c>
      <c r="I105" s="98" t="s">
        <v>12</v>
      </c>
      <c r="J105" s="99" t="s">
        <v>25</v>
      </c>
      <c r="K105" s="120"/>
      <c r="L105" s="120"/>
      <c r="M105" s="120"/>
    </row>
    <row r="106" spans="1:13" x14ac:dyDescent="0.3">
      <c r="A106" s="100" t="s">
        <v>35</v>
      </c>
      <c r="B106" s="153"/>
      <c r="C106" s="153"/>
      <c r="D106" s="233"/>
      <c r="E106" s="234">
        <f>(E108*E93*E89)-E99+(E108*E91*E94)-E100</f>
        <v>17388</v>
      </c>
      <c r="F106" s="234">
        <f>(F108*F93*F89)-F99+(F108*F91*F94)-F100</f>
        <v>0</v>
      </c>
      <c r="G106" s="234">
        <f>(G108*G93*G89)-G99+(G108*G91*G94)-G100</f>
        <v>0</v>
      </c>
      <c r="H106" s="234">
        <f>(H108*H93*H89)-H99+(H108*H91*H94)-H100</f>
        <v>0</v>
      </c>
      <c r="I106" s="234">
        <f>(I108*I93*I89)-I99+(I108*I91*I94)-I100</f>
        <v>0</v>
      </c>
      <c r="J106" s="101">
        <f>E106+F106+G106+H106+I106</f>
        <v>17388</v>
      </c>
      <c r="K106" s="121"/>
      <c r="L106" s="121"/>
      <c r="M106" s="121"/>
    </row>
    <row r="107" spans="1:13" x14ac:dyDescent="0.3">
      <c r="A107" s="235"/>
      <c r="B107" s="236"/>
      <c r="C107" s="236"/>
      <c r="D107" s="233"/>
      <c r="E107" s="234"/>
      <c r="F107" s="234"/>
      <c r="G107" s="234"/>
      <c r="H107" s="234"/>
      <c r="I107" s="234"/>
      <c r="J107" s="101"/>
      <c r="K107" s="121"/>
      <c r="L107" s="121"/>
      <c r="M107" s="121"/>
    </row>
    <row r="108" spans="1:13" ht="13.5" thickBot="1" x14ac:dyDescent="0.35">
      <c r="A108" s="102" t="s">
        <v>32</v>
      </c>
      <c r="B108" s="154"/>
      <c r="C108" s="154"/>
      <c r="D108" s="237"/>
      <c r="E108" s="238">
        <v>1610</v>
      </c>
      <c r="F108" s="238">
        <f>E108</f>
        <v>1610</v>
      </c>
      <c r="G108" s="238">
        <f>F108</f>
        <v>1610</v>
      </c>
      <c r="H108" s="238">
        <f>G108</f>
        <v>1610</v>
      </c>
      <c r="I108" s="238">
        <f>H108</f>
        <v>1610</v>
      </c>
      <c r="J108" s="103"/>
      <c r="K108" s="121"/>
      <c r="L108" s="121"/>
      <c r="M108" s="121"/>
    </row>
    <row r="109" spans="1:13" ht="13.5" thickTop="1" x14ac:dyDescent="0.3"/>
    <row r="110" spans="1:13" x14ac:dyDescent="0.3">
      <c r="A110" s="82" t="s">
        <v>37</v>
      </c>
      <c r="B110" s="155"/>
      <c r="C110" s="155"/>
      <c r="D110" s="83" t="s">
        <v>38</v>
      </c>
      <c r="E110" s="84"/>
      <c r="F110" s="84"/>
      <c r="G110" s="84"/>
      <c r="H110" s="84"/>
      <c r="I110" s="84"/>
      <c r="J110" s="1" t="s">
        <v>73</v>
      </c>
      <c r="L110" s="1" t="s">
        <v>91</v>
      </c>
      <c r="M110" s="1" t="s">
        <v>90</v>
      </c>
    </row>
    <row r="111" spans="1:13" x14ac:dyDescent="0.3">
      <c r="A111" s="85"/>
      <c r="E111">
        <f>IF(E62&gt;25000,25000,E62)</f>
        <v>25000</v>
      </c>
      <c r="F111">
        <f>IF(E62+F62&gt;25000,(25000-E62),F62)</f>
        <v>-25000</v>
      </c>
      <c r="G111">
        <f>IF(E62+F62+G62&gt;25000,(25000-(E62+F62)),G62)</f>
        <v>-25000</v>
      </c>
      <c r="H111">
        <f>IF(E62+F62+G62+H62&gt;25000,(25000-(E62+F62+G62)),H62)</f>
        <v>-25000</v>
      </c>
      <c r="I111">
        <f>IF(E62+F62+G62+H62+I62&gt;25000,(25000-(E62+F62+G62+H62)),I62)</f>
        <v>-25000</v>
      </c>
      <c r="J111" s="1" t="s">
        <v>74</v>
      </c>
      <c r="L111" s="1" t="s">
        <v>79</v>
      </c>
      <c r="M111" s="1">
        <v>9</v>
      </c>
    </row>
    <row r="112" spans="1:13" x14ac:dyDescent="0.3">
      <c r="A112" s="90" t="s">
        <v>34</v>
      </c>
      <c r="B112" s="156"/>
      <c r="C112" s="156"/>
      <c r="D112" s="81"/>
      <c r="E112" s="87">
        <f>IF(E111&lt;0,0,E111)</f>
        <v>25000</v>
      </c>
      <c r="F112" s="87">
        <f>IF(F111&lt;0,0,F111)</f>
        <v>0</v>
      </c>
      <c r="G112" s="87">
        <f>IF(G111&lt;0,0,G111)</f>
        <v>0</v>
      </c>
      <c r="H112" s="87">
        <f>IF(H111&lt;0,0,H111)</f>
        <v>0</v>
      </c>
      <c r="I112" s="87">
        <f>IF(I111&lt;0,0,I111)</f>
        <v>0</v>
      </c>
      <c r="J112" s="1" t="s">
        <v>75</v>
      </c>
      <c r="L112" s="1" t="s">
        <v>93</v>
      </c>
      <c r="M112" s="1">
        <v>10</v>
      </c>
    </row>
    <row r="113" spans="1:13" x14ac:dyDescent="0.3">
      <c r="A113" s="91"/>
      <c r="B113" s="157"/>
      <c r="C113" s="157"/>
      <c r="E113">
        <f>IF(E63&gt;25000,25000,E63)</f>
        <v>0</v>
      </c>
      <c r="F113">
        <f>IF(E63+F63&gt;25000,(25000-E63),F63)</f>
        <v>0</v>
      </c>
      <c r="G113">
        <f>IF(E63+F63+G63&gt;25000,(25000-(E63+F63)),G63)</f>
        <v>0</v>
      </c>
      <c r="H113">
        <f>IF(E63+F63+G63+H63&gt;25000,(25000-(E63+F63+G63)),H63)</f>
        <v>0</v>
      </c>
      <c r="I113">
        <f>IF(E63+F63+G63+H63+I63&gt;25000,(25000-(E63+F63+G63+H63)),I63)</f>
        <v>0</v>
      </c>
      <c r="J113" s="1" t="s">
        <v>77</v>
      </c>
      <c r="L113" s="1" t="s">
        <v>94</v>
      </c>
      <c r="M113" s="1">
        <v>11</v>
      </c>
    </row>
    <row r="114" spans="1:13" x14ac:dyDescent="0.3">
      <c r="A114" s="90" t="s">
        <v>28</v>
      </c>
      <c r="B114" s="156"/>
      <c r="C114" s="156"/>
      <c r="D114" s="81"/>
      <c r="E114" s="87">
        <f>IF(E113&lt;0,0,E113)</f>
        <v>0</v>
      </c>
      <c r="F114" s="87">
        <f>IF(F113&lt;0,0,F113)</f>
        <v>0</v>
      </c>
      <c r="G114" s="87">
        <f>IF(G113&lt;0,0,G113)</f>
        <v>0</v>
      </c>
      <c r="H114" s="87">
        <f>IF(H113&lt;0,0,H113)</f>
        <v>0</v>
      </c>
      <c r="I114" s="87">
        <f>IF(I113&lt;0,0,I113)</f>
        <v>0</v>
      </c>
      <c r="J114" s="1" t="s">
        <v>76</v>
      </c>
      <c r="L114" s="1" t="s">
        <v>80</v>
      </c>
      <c r="M114" s="1">
        <v>12</v>
      </c>
    </row>
    <row r="115" spans="1:13" x14ac:dyDescent="0.3">
      <c r="A115" s="91"/>
      <c r="B115" s="157"/>
      <c r="C115" s="157"/>
      <c r="E115">
        <f>IF(E64&gt;25000,25000,E64)</f>
        <v>0</v>
      </c>
      <c r="F115">
        <f>IF(E64+F64&gt;25000,(25000-E64),F64)</f>
        <v>0</v>
      </c>
      <c r="G115">
        <f>IF(E64+F64+G64&gt;25000,(25000-(E64+F64)),G64)</f>
        <v>0</v>
      </c>
      <c r="H115">
        <f>IF(E64+F64+G64+H64&gt;25000,(25000-(E64+F64+G64)),H64)</f>
        <v>0</v>
      </c>
      <c r="I115" s="86">
        <f>IF(E64+F64+G64+H64+I64&gt;25000,(25000-(E64+F64+G64+H64)),I64)</f>
        <v>0</v>
      </c>
      <c r="L115" s="1" t="s">
        <v>95</v>
      </c>
    </row>
    <row r="116" spans="1:13" x14ac:dyDescent="0.3">
      <c r="A116" s="90" t="s">
        <v>29</v>
      </c>
      <c r="B116" s="156"/>
      <c r="C116" s="156"/>
      <c r="D116" s="81"/>
      <c r="E116" s="87">
        <f>IF(E115&lt;0,0,E115)</f>
        <v>0</v>
      </c>
      <c r="F116" s="87">
        <f>IF(F115&lt;0,0,F115)</f>
        <v>0</v>
      </c>
      <c r="G116" s="87">
        <f>IF(G115&lt;0,0,G115)</f>
        <v>0</v>
      </c>
      <c r="H116" s="87">
        <f>IF(H115&lt;0,0,H115)</f>
        <v>0</v>
      </c>
      <c r="I116" s="87">
        <f>IF(I115&lt;0,0,I115)</f>
        <v>0</v>
      </c>
    </row>
    <row r="117" spans="1:13" x14ac:dyDescent="0.3">
      <c r="A117" s="91"/>
      <c r="B117" s="157"/>
      <c r="C117" s="157"/>
      <c r="E117">
        <f>IF(E65&gt;25000,25000,E65)</f>
        <v>0</v>
      </c>
      <c r="F117">
        <f>IF(E65+F65&gt;25000,(25000-E65),F65)</f>
        <v>0</v>
      </c>
      <c r="G117">
        <f>IF(E65+F65+G65&gt;25000,(25000-(E65+F65)),G65)</f>
        <v>0</v>
      </c>
      <c r="H117">
        <f>IF(E65+F65+G65+H65&gt;25000,(25000-(E65+F65+G65)),H65)</f>
        <v>0</v>
      </c>
      <c r="I117">
        <f>IF(E65+F65+G65+H65+I65&gt;25000,(25000-(E65+F65+G65+H65)),I65)</f>
        <v>0</v>
      </c>
    </row>
    <row r="118" spans="1:13" x14ac:dyDescent="0.3">
      <c r="A118" s="92" t="s">
        <v>39</v>
      </c>
      <c r="B118" s="158"/>
      <c r="C118" s="158"/>
      <c r="D118" s="88"/>
      <c r="E118" s="89">
        <f>IF(E117&lt;0,0,E117)</f>
        <v>0</v>
      </c>
      <c r="F118" s="89">
        <f>IF(F117&lt;0,0,F117)</f>
        <v>0</v>
      </c>
      <c r="G118" s="89">
        <f>IF(G117&lt;0,0,G117)</f>
        <v>0</v>
      </c>
      <c r="H118" s="89">
        <f>IF(H117&lt;0,0,H117)</f>
        <v>0</v>
      </c>
      <c r="I118" s="89">
        <f>IF(I117&lt;0,0,I117)</f>
        <v>0</v>
      </c>
    </row>
    <row r="122" spans="1:13" x14ac:dyDescent="0.3">
      <c r="A122" s="125"/>
      <c r="B122" s="125"/>
      <c r="C122" s="125"/>
    </row>
  </sheetData>
  <sheetProtection formatCells="0" formatColumns="0" formatRows="0" insertColumns="0" insertRows="0" deleteColumns="0" deleteRows="0" selectLockedCells="1"/>
  <mergeCells count="37">
    <mergeCell ref="A63:B63"/>
    <mergeCell ref="A64:B64"/>
    <mergeCell ref="A65:B65"/>
    <mergeCell ref="C62:D62"/>
    <mergeCell ref="C63:D63"/>
    <mergeCell ref="C64:D64"/>
    <mergeCell ref="A36:D36"/>
    <mergeCell ref="A37:D37"/>
    <mergeCell ref="A38:D38"/>
    <mergeCell ref="A39:D39"/>
    <mergeCell ref="A62:B62"/>
    <mergeCell ref="N2:O5"/>
    <mergeCell ref="B17:C17"/>
    <mergeCell ref="B18:C18"/>
    <mergeCell ref="B19:C19"/>
    <mergeCell ref="B25:C25"/>
    <mergeCell ref="B21:C21"/>
    <mergeCell ref="B22:C22"/>
    <mergeCell ref="B23:C23"/>
    <mergeCell ref="B24:D24"/>
    <mergeCell ref="B5:C5"/>
    <mergeCell ref="A71:D71"/>
    <mergeCell ref="G4:I4"/>
    <mergeCell ref="A70:D70"/>
    <mergeCell ref="B2:J2"/>
    <mergeCell ref="B3:J3"/>
    <mergeCell ref="B4:F4"/>
    <mergeCell ref="E5:F5"/>
    <mergeCell ref="B26:C26"/>
    <mergeCell ref="B27:C27"/>
    <mergeCell ref="A29:C29"/>
    <mergeCell ref="C65:D65"/>
    <mergeCell ref="A67:D67"/>
    <mergeCell ref="A68:D68"/>
    <mergeCell ref="A69:D69"/>
    <mergeCell ref="A34:D34"/>
    <mergeCell ref="A35:D35"/>
  </mergeCells>
  <phoneticPr fontId="4" type="noConversion"/>
  <dataValidations count="4">
    <dataValidation type="list" allowBlank="1" showInputMessage="1" showErrorMessage="1" sqref="D80" xr:uid="{00000000-0002-0000-0000-000000000000}">
      <formula1>$J$111:$J$114</formula1>
    </dataValidation>
    <dataValidation type="list" allowBlank="1" showInputMessage="1" showErrorMessage="1" sqref="M124" xr:uid="{82548DB5-05D2-4E0F-A7C4-F03E5B2BDE31}">
      <formula1>$M$110:$M$114</formula1>
    </dataValidation>
    <dataValidation type="list" allowBlank="1" showInputMessage="1" showErrorMessage="1" sqref="M9:M13" xr:uid="{3A810DA9-8957-41CF-B49D-01D609B9DEC6}">
      <formula1>"9, 10, 11, 12"</formula1>
    </dataValidation>
    <dataValidation type="list" allowBlank="1" showInputMessage="1" showErrorMessage="1" sqref="B9:B13" xr:uid="{3E93B727-049A-4BC3-A645-F93E51A49E48}">
      <formula1>$L$111:$L$115</formula1>
    </dataValidation>
  </dataValidations>
  <pageMargins left="0.75" right="0.75" top="1" bottom="1" header="0.5" footer="0.5"/>
  <pageSetup scale="46" orientation="portrait" r:id="rId1"/>
  <headerFooter alignWithMargins="0"/>
  <ignoredErrors>
    <ignoredError sqref="F60:I60 E77:I78 G9:J9 E105:I107 E90:I90 E92:I92 F67:I69 E103:I103 F99:I100 E109:I109 F25:I25 F27:I28 J25:J69 F30:I40 G18:J19 F14:J17 J10:J13 J23" unlockedFormula="1"/>
    <ignoredError sqref="E113:I118" formula="1"/>
  </ignoredErrors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3"/>
  <sheetViews>
    <sheetView workbookViewId="0">
      <selection activeCell="H10" sqref="H10"/>
    </sheetView>
  </sheetViews>
  <sheetFormatPr defaultColWidth="8.81640625" defaultRowHeight="12.5" x14ac:dyDescent="0.25"/>
  <cols>
    <col min="1" max="1" width="18.6328125" customWidth="1"/>
    <col min="2" max="2" width="13.6328125" customWidth="1"/>
    <col min="3" max="3" width="15.453125" customWidth="1"/>
    <col min="4" max="4" width="14.453125" customWidth="1"/>
    <col min="5" max="5" width="13.453125" customWidth="1"/>
    <col min="6" max="6" width="11.6328125" customWidth="1"/>
    <col min="7" max="7" width="14.1796875" customWidth="1"/>
    <col min="8" max="8" width="32.36328125" customWidth="1"/>
    <col min="9" max="9" width="19.1796875" customWidth="1"/>
    <col min="10" max="10" width="13.36328125" customWidth="1"/>
  </cols>
  <sheetData>
    <row r="2" spans="1:11" ht="13" x14ac:dyDescent="0.3">
      <c r="A2" s="312" t="s">
        <v>102</v>
      </c>
      <c r="B2" s="312"/>
      <c r="C2" s="312"/>
      <c r="D2" s="312"/>
      <c r="E2" s="312"/>
      <c r="F2" s="312"/>
      <c r="H2" s="312" t="s">
        <v>104</v>
      </c>
      <c r="I2" s="312"/>
      <c r="J2" s="312"/>
      <c r="K2" s="247"/>
    </row>
    <row r="3" spans="1:11" ht="13" x14ac:dyDescent="0.3">
      <c r="H3" s="249" t="s">
        <v>108</v>
      </c>
      <c r="I3" s="249" t="s">
        <v>109</v>
      </c>
      <c r="J3" s="249" t="s">
        <v>110</v>
      </c>
    </row>
    <row r="4" spans="1:11" ht="26" x14ac:dyDescent="0.3">
      <c r="A4" s="242" t="s">
        <v>105</v>
      </c>
      <c r="B4" s="243" t="s">
        <v>106</v>
      </c>
      <c r="C4" s="244" t="s">
        <v>84</v>
      </c>
      <c r="D4" s="244" t="s">
        <v>83</v>
      </c>
      <c r="E4" s="244" t="s">
        <v>85</v>
      </c>
      <c r="F4" s="244" t="s">
        <v>86</v>
      </c>
      <c r="H4" s="248" t="s">
        <v>111</v>
      </c>
      <c r="I4" s="239" t="s">
        <v>116</v>
      </c>
      <c r="J4" s="250">
        <v>0.55000000000000004</v>
      </c>
    </row>
    <row r="5" spans="1:11" ht="13" x14ac:dyDescent="0.3">
      <c r="A5" s="140">
        <v>45519</v>
      </c>
      <c r="B5" s="135">
        <v>1539</v>
      </c>
      <c r="C5" s="137">
        <f>B5*26</f>
        <v>40014</v>
      </c>
      <c r="D5" s="138">
        <f>B5*C12</f>
        <v>32319</v>
      </c>
      <c r="E5" s="137">
        <f>B5*D12</f>
        <v>15390</v>
      </c>
      <c r="F5" s="137">
        <f>B5*E12</f>
        <v>9234</v>
      </c>
      <c r="H5" s="239" t="s">
        <v>112</v>
      </c>
      <c r="I5" s="239" t="s">
        <v>116</v>
      </c>
      <c r="J5" s="251">
        <v>0.45750000000000002</v>
      </c>
    </row>
    <row r="6" spans="1:11" ht="13" x14ac:dyDescent="0.3">
      <c r="A6" s="141">
        <v>45884</v>
      </c>
      <c r="B6" s="135">
        <v>1585.15</v>
      </c>
      <c r="C6" s="138">
        <f>41214</f>
        <v>41214</v>
      </c>
      <c r="D6" s="138">
        <f>B6*C12</f>
        <v>33288.15</v>
      </c>
      <c r="E6" s="138">
        <f>D12*B6</f>
        <v>15851.5</v>
      </c>
      <c r="F6" s="138">
        <f>E12*B6</f>
        <v>9510.9</v>
      </c>
      <c r="H6" s="239" t="s">
        <v>113</v>
      </c>
      <c r="I6" s="239" t="s">
        <v>116</v>
      </c>
      <c r="J6" s="250">
        <v>0.38</v>
      </c>
    </row>
    <row r="7" spans="1:11" ht="13" x14ac:dyDescent="0.3">
      <c r="A7" s="141">
        <v>46249</v>
      </c>
      <c r="B7" s="135">
        <v>1632.69</v>
      </c>
      <c r="C7" s="137">
        <f>42450</f>
        <v>42450</v>
      </c>
      <c r="D7" s="138">
        <f>C12*B7</f>
        <v>34286.49</v>
      </c>
      <c r="E7" s="137">
        <f>D12*B7</f>
        <v>16326.9</v>
      </c>
      <c r="F7" s="137">
        <f>E12*B7</f>
        <v>9796.14</v>
      </c>
      <c r="H7" s="239" t="s">
        <v>114</v>
      </c>
      <c r="I7" s="239" t="s">
        <v>116</v>
      </c>
      <c r="J7" s="250">
        <v>0.26</v>
      </c>
    </row>
    <row r="8" spans="1:11" ht="13" x14ac:dyDescent="0.3">
      <c r="A8" s="246">
        <v>46249</v>
      </c>
      <c r="B8" s="135">
        <f>B7*1.03</f>
        <v>1681.67</v>
      </c>
      <c r="C8" s="240">
        <f>C7*1.03</f>
        <v>43723.5</v>
      </c>
      <c r="D8" s="138">
        <f>C12*B8</f>
        <v>35315.07</v>
      </c>
      <c r="E8" s="137">
        <f>B8*D12</f>
        <v>16816.7</v>
      </c>
      <c r="F8" s="137">
        <f>B8*E12</f>
        <v>10090.02</v>
      </c>
      <c r="H8" s="239" t="s">
        <v>115</v>
      </c>
      <c r="I8" s="239" t="s">
        <v>117</v>
      </c>
      <c r="J8" s="250">
        <v>0.26</v>
      </c>
    </row>
    <row r="9" spans="1:11" x14ac:dyDescent="0.25">
      <c r="A9" s="245" t="s">
        <v>107</v>
      </c>
      <c r="H9" s="245" t="s">
        <v>121</v>
      </c>
    </row>
    <row r="10" spans="1:11" x14ac:dyDescent="0.25">
      <c r="H10" s="253" t="str">
        <f>HYPERLINK("https://www.wpi.edu/research/resources/sponsored-programs/resources/institutional-information-rates")</f>
        <v>https://www.wpi.edu/research/resources/sponsored-programs/resources/institutional-information-rates</v>
      </c>
    </row>
    <row r="11" spans="1:11" ht="13" x14ac:dyDescent="0.3">
      <c r="A11" s="136"/>
      <c r="B11" s="139" t="s">
        <v>84</v>
      </c>
      <c r="C11" s="139" t="s">
        <v>83</v>
      </c>
      <c r="D11" s="139" t="s">
        <v>85</v>
      </c>
      <c r="E11" s="139" t="s">
        <v>86</v>
      </c>
    </row>
    <row r="12" spans="1:11" x14ac:dyDescent="0.25">
      <c r="A12" s="136" t="s">
        <v>87</v>
      </c>
      <c r="B12" s="241">
        <v>26</v>
      </c>
      <c r="C12" s="241">
        <v>21</v>
      </c>
      <c r="D12" s="241">
        <v>10</v>
      </c>
      <c r="E12" s="241">
        <v>6</v>
      </c>
    </row>
    <row r="13" spans="1:11" x14ac:dyDescent="0.25">
      <c r="A13" s="239" t="s">
        <v>103</v>
      </c>
      <c r="B13" s="241">
        <v>12</v>
      </c>
      <c r="C13" s="241">
        <v>9</v>
      </c>
      <c r="D13" s="241">
        <v>4.5</v>
      </c>
      <c r="E13" s="241">
        <v>3</v>
      </c>
    </row>
  </sheetData>
  <mergeCells count="2">
    <mergeCell ref="A2:F2"/>
    <mergeCell ref="H2:J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EC217-6B2D-404B-97BD-71367AEDE3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Budget Template</vt:lpstr>
      <vt:lpstr>Institutional Rate Information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frusso</dc:creator>
  <cp:lastModifiedBy>Mulkern, Michelle</cp:lastModifiedBy>
  <cp:lastPrinted>2017-11-08T13:57:03Z</cp:lastPrinted>
  <dcterms:created xsi:type="dcterms:W3CDTF">2005-07-18T15:01:04Z</dcterms:created>
  <dcterms:modified xsi:type="dcterms:W3CDTF">2024-09-09T19:45:41Z</dcterms:modified>
</cp:coreProperties>
</file>